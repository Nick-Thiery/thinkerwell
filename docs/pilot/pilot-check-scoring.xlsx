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Key" sheetId="2" state="visible" r:id="rId4"/>
    <sheet name="Answers" sheetId="3" state="visible" r:id="rId5"/>
    <sheet name="Resul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The learner's pilot code, as on their sheet (for example HLP-07). Never a name.</t>
        </r>
      </text>
    </comment>
    <comment ref="B1" authorId="0">
      <text>
        <r>
          <rPr>
            <sz val="10"/>
            <rFont val="Arial"/>
            <family val="2"/>
          </rPr>
          <t xml:space="preserve">First (the first session) or Last (the last session).</t>
        </r>
      </text>
    </comment>
  </commentList>
</comments>
</file>

<file path=xl/sharedStrings.xml><?xml version="1.0" encoding="utf-8"?>
<sst xmlns="http://schemas.openxmlformats.org/spreadsheetml/2006/main" count="196" uniqueCount="124">
  <si>
    <t xml:space="preserve">Before-and-after check: scoring</t>
  </si>
  <si>
    <t xml:space="preserve">For the Thinkerwell team only. Learners are identified by their pilot code, never a name.</t>
  </si>
  <si>
    <t xml:space="preserve">1. After each session, type one row per learner on the Answers sheet: the code, First or Last, the date,</t>
  </si>
  <si>
    <t xml:space="preserve">   the letter each learner circled for questions 1 to 16 (A, B or C; leave it empty if they circled none),</t>
  </si>
  <si>
    <t xml:space="preserve">   both team members' writing marks (0 to 6 each, from the rubric on the answer key) and the five faces</t>
  </si>
  <si>
    <t xml:space="preserve">   (1 = the first face, "Not yet", to 4 = the last, "Yes"). Only the yellow cells are for typing.</t>
  </si>
  <si>
    <t xml:space="preserve">2. On the Results sheet, type each learner's code once in the yellow column. Everything else fills in.</t>
  </si>
  <si>
    <t xml:space="preserve">3. Grey cells come from the answer key (the Key sheet). Don't change them.</t>
  </si>
  <si>
    <t xml:space="preserve">What the numbers mean</t>
  </si>
  <si>
    <t xml:space="preserve">Score: correct answers out of 16. Taught: out of the 12 questions from lessons the pilot teaches.</t>
  </si>
  <si>
    <t xml:space="preserve">Untaught: out of the 4 questions from lessons it doesn't. If scores rise on taught questions but not on</t>
  </si>
  <si>
    <t xml:space="preserve">untaught ones, the lessons are the likely reason, not just taking the check twice.</t>
  </si>
  <si>
    <t xml:space="preserve">Normalised gain: (after − before) ÷ (16 − before). It is fair to learners who start high. Empty when before is 16.</t>
  </si>
  <si>
    <t xml:space="preserve">Writing: the average of the two markers' marks, out of 6. "Check" means the markers differ by 2 or more:</t>
  </si>
  <si>
    <t xml:space="preserve">talk it through and agree, then type the agreed mark in both columns.</t>
  </si>
  <si>
    <t xml:space="preserve">Confidence: the average of the five faces, from 1 to 4.</t>
  </si>
  <si>
    <t xml:space="preserve">The summary at the top of Results counts only learners with both a first and a last session.</t>
  </si>
  <si>
    <t xml:space="preserve">Keep this file private. Delete it, with the paper sheets, within 6 months of the pilot ending (the consent form).</t>
  </si>
  <si>
    <t xml:space="preserve">An example row on the Answers sheet looks like this (don't type it in):</t>
  </si>
  <si>
    <t xml:space="preserve">Code</t>
  </si>
  <si>
    <t xml:space="preserve">Session</t>
  </si>
  <si>
    <t xml:space="preserve">Date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</si>
  <si>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</si>
  <si>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</si>
  <si>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</si>
  <si>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</si>
  <si>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</si>
  <si>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</si>
  <si>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</si>
  <si>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</si>
  <si>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</si>
  <si>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</si>
  <si>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</si>
  <si>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</si>
  <si>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</si>
  <si>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</si>
  <si>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</si>
  <si>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Q16</t>
  </si>
  <si>
    <t xml:space="preserve">Writing 1</t>
  </si>
  <si>
    <t xml:space="preserve">Writing 2</t>
  </si>
  <si>
    <t xml:space="preserve">Face 1</t>
  </si>
  <si>
    <t xml:space="preserve">Face 2</t>
  </si>
  <si>
    <t xml:space="preserve">Face 3</t>
  </si>
  <si>
    <t xml:space="preserve">Face 4</t>
  </si>
  <si>
    <t xml:space="preserve">Face 5</t>
  </si>
  <si>
    <t xml:space="preserve">HLP-07</t>
  </si>
  <si>
    <t xml:space="preserve">First</t>
  </si>
  <si>
    <t xml:space="preserve">2026-10-20</t>
  </si>
  <si>
    <t xml:space="preserve">A</t>
  </si>
  <si>
    <t xml:space="preserve">C</t>
  </si>
  <si>
    <t xml:space="preserve">B</t>
  </si>
  <si>
    <t xml:space="preserve">Question</t>
  </si>
  <si>
    <t xml:space="preserve">Correct answer</t>
  </si>
  <si>
    <t xml:space="preserve">Lesson</t>
  </si>
  <si>
    <t xml:space="preserve">Taught in the pilot</t>
  </si>
  <si>
    <t xml:space="preserve">Area</t>
  </si>
  <si>
    <t xml:space="preserve">Question (English)</t>
  </si>
  <si>
    <t xml:space="preserve">Yes</t>
  </si>
  <si>
    <t xml:space="preserve">sources</t>
  </si>
  <si>
    <t xml:space="preserve">What can you say by using both sources?</t>
  </si>
  <si>
    <t xml:space="preserve">Which question needs a different source to answer it?</t>
  </si>
  <si>
    <t xml:space="preserve">Which sentence is an observation?</t>
  </si>
  <si>
    <t xml:space="preserve">No</t>
  </si>
  <si>
    <t xml:space="preserve">perspectives</t>
  </si>
  <si>
    <t xml:space="preserve">What is the main difference between their work?</t>
  </si>
  <si>
    <t xml:space="preserve">Which museum label is the most careful?</t>
  </si>
  <si>
    <t xml:space="preserve">maps</t>
  </si>
  <si>
    <t xml:space="preserve">Which part of a map tells you what each symbol means?</t>
  </si>
  <si>
    <t xml:space="preserve">What do you still need to find out before you choose a route?</t>
  </si>
  <si>
    <t xml:space="preserve">vocabulary</t>
  </si>
  <si>
    <t xml:space="preserve">Which sentence is about climate?</t>
  </si>
  <si>
    <t xml:space="preserve">cause</t>
  </si>
  <si>
    <t xml:space="preserve">What will probably happen next?</t>
  </si>
  <si>
    <t xml:space="preserve">A city grows very fast. Which problem is most likely?</t>
  </si>
  <si>
    <t xml:space="preserve">What does this show?</t>
  </si>
  <si>
    <t xml:space="preserve">What is this kind of exchange called?</t>
  </si>
  <si>
    <t xml:space="preserve">Why are the pictures helpful?</t>
  </si>
  <si>
    <t xml:space="preserve">checking</t>
  </si>
  <si>
    <t xml:space="preserve">What is the best thing to do first?</t>
  </si>
  <si>
    <t xml:space="preserve">What is the problem with this post?</t>
  </si>
  <si>
    <t xml:space="preserve">choices</t>
  </si>
  <si>
    <t xml:space="preserve">What do we call a choice where you give up one thing to get another?</t>
  </si>
  <si>
    <t xml:space="preserve">Source: content/pilot-check/en.json (made by scripts/pilot_check_sheet.py).</t>
  </si>
  <si>
    <t xml:space="preserve">Writing 1 (0–6)</t>
  </si>
  <si>
    <t xml:space="preserve">Writing 2 (0–6)</t>
  </si>
  <si>
    <t xml:space="preserve">Face 1 (1–4)</t>
  </si>
  <si>
    <t xml:space="preserve">Face 2 (1–4)</t>
  </si>
  <si>
    <t xml:space="preserve">Face 3 (1–4)</t>
  </si>
  <si>
    <t xml:space="preserve">Face 4 (1–4)</t>
  </si>
  <si>
    <t xml:space="preserve">Face 5 (1–4)</t>
  </si>
  <si>
    <t xml:space="preserve">Score (of 16)</t>
  </si>
  <si>
    <t xml:space="preserve">Taught (of 12)</t>
  </si>
  <si>
    <t xml:space="preserve">Untaught (of 4)</t>
  </si>
  <si>
    <t xml:space="preserve">Writing (of 6)</t>
  </si>
  <si>
    <t xml:space="preserve">Confidence (1–4)</t>
  </si>
  <si>
    <t xml:space="preserve">Markers</t>
  </si>
  <si>
    <t xml:space="preserve">Right answer</t>
  </si>
  <si>
    <t xml:space="preserve">Taught (1) or not (0)</t>
  </si>
  <si>
    <t xml:space="preserve">Before-and-after check: results</t>
  </si>
  <si>
    <t xml:space="preserve">Type each learner's code once in column A (yellow), from row 15. The summary counts learners with both sessions.</t>
  </si>
  <si>
    <t xml:space="preserve">Learners with both sessions</t>
  </si>
  <si>
    <t xml:space="preserve">Average score before (of 16)</t>
  </si>
  <si>
    <t xml:space="preserve">Average score after (of 16)</t>
  </si>
  <si>
    <t xml:space="preserve">Average change</t>
  </si>
  <si>
    <t xml:space="preserve">Share who improved</t>
  </si>
  <si>
    <t xml:space="preserve">Average normalised gain</t>
  </si>
  <si>
    <t xml:space="preserve">Taught questions: change in % right</t>
  </si>
  <si>
    <t xml:space="preserve">Untaught questions: change in % right</t>
  </si>
  <si>
    <t xml:space="preserve">Writing: average change (of 6)</t>
  </si>
  <si>
    <t xml:space="preserve">Confidence: average change (1–4)</t>
  </si>
  <si>
    <t xml:space="preserve">Before (of 16)</t>
  </si>
  <si>
    <t xml:space="preserve">After (of 16)</t>
  </si>
  <si>
    <t xml:space="preserve">Change</t>
  </si>
  <si>
    <t xml:space="preserve">Normalised gain</t>
  </si>
  <si>
    <t xml:space="preserve">Taught before (of 12)</t>
  </si>
  <si>
    <t xml:space="preserve">Taught after (of 12)</t>
  </si>
  <si>
    <t xml:space="preserve">Untaught before (of 4)</t>
  </si>
  <si>
    <t xml:space="preserve">Untaught after (of 4)</t>
  </si>
  <si>
    <t xml:space="preserve">Writing before (of 6)</t>
  </si>
  <si>
    <t xml:space="preserve">Writing after (of 6)</t>
  </si>
  <si>
    <t xml:space="preserve">Confidence before (1–4)</t>
  </si>
  <si>
    <t xml:space="preserve">Confidence after (1–4)</t>
  </si>
  <si>
    <t xml:space="preserve">Both sessions</t>
  </si>
  <si>
    <t xml:space="preserve">Note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</si>
</sst>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"/>
    <numFmt numFmtId="167" formatCode="\+0.0;\-0.0;0.0"/>
    <numFmt numFmtId="168" formatCode="0%"/>
    <numFmt numFmtId="169" formatCode="0.00"/>
    <numFmt numFmtId="170" formatCode="\+0%;\-0%;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595959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7E6E6"/>
      </patternFill>
    </fill>
    <fill>
      <patternFill patternType="solid">
        <fgColor rgb="FFE7E6E6"/>
        <bgColor rgb="FFD9E1F2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 t="s">
        <v>16</v>
      </c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B24" s="2" t="s">
        <v>19</v>
      </c>
      <c r="C24" s="2" t="s">
        <v>20</v>
      </c>
      <c r="D24" s="2" t="s">
        <v>21</v>
      </c>
      <c r="E24" s="2" t="s">
        <v>22</v>
      </c>
      <c r="F24" s="2" t="s">
        <v>23</v>
      </c>
      <c r="G24" s="2" t="s">
        <v>24</v>
      </c>
      <c r="H24" s="2" t="s">
        <v>25</v>
      </c>
      <c r="I24" s="2" t="s">
        <v>26</v>
      </c>
      <c r="J24" s="2" t="s">
        <v>27</v>
      </c>
      <c r="K24" s="2" t="s">
        <v>28</v>
      </c>
      <c r="L24" s="2" t="s">
        <v>29</v>
      </c>
      <c r="M24" s="2" t="s">
        <v>30</v>
      </c>
      <c r="N24" s="2" t="s">
        <v>31</v>
      </c>
      <c r="O24" s="2" t="s">
        <v>32</v>
      </c>
      <c r="P24" s="2" t="s">
        <v>33</v>
      </c>
      <c r="Q24" s="2" t="s">
        <v>34</v>
      </c>
      <c r="R24" s="2" t="s">
        <v>35</v>
      </c>
      <c r="S24" s="2" t="s">
        <v>36</v>
      </c>
      <c r="T24" s="2" t="s">
        <v>37</v>
      </c>
      <c r="U24" s="2" t="s">
        <v>38</v>
      </c>
      <c r="V24" s="2" t="s">
        <v>39</v>
      </c>
      <c r="W24" s="2" t="s">
        <v>40</v>
      </c>
      <c r="X24" s="2" t="s">
        <v>41</v>
      </c>
      <c r="Y24" s="2" t="s">
        <v>42</v>
      </c>
      <c r="Z24" s="2" t="s">
        <v>43</v>
      </c>
      <c r="AA24" s="2" t="s">
        <v>44</v>
      </c>
    </row>
    <row r="25" customFormat="false" ht="15" hidden="false" customHeight="false" outlineLevel="0" collapsed="false">
      <c r="B25" s="4" t="s">
        <v>45</v>
      </c>
      <c r="C25" s="4" t="s">
        <v>46</v>
      </c>
      <c r="D25" s="4" t="s">
        <v>47</v>
      </c>
      <c r="E25" s="4" t="s">
        <v>48</v>
      </c>
      <c r="F25" s="4" t="s">
        <v>49</v>
      </c>
      <c r="G25" s="4" t="s">
        <v>50</v>
      </c>
      <c r="H25" s="4" t="s">
        <v>50</v>
      </c>
      <c r="I25" s="4" t="s">
        <v>48</v>
      </c>
      <c r="J25" s="4" t="s">
        <v>49</v>
      </c>
      <c r="K25" s="4" t="s">
        <v>50</v>
      </c>
      <c r="L25" s="4" t="s">
        <v>48</v>
      </c>
      <c r="M25" s="4" t="s">
        <v>50</v>
      </c>
      <c r="N25" s="4" t="s">
        <v>48</v>
      </c>
      <c r="O25" s="4" t="s">
        <v>49</v>
      </c>
      <c r="P25" s="4" t="s">
        <v>49</v>
      </c>
      <c r="Q25" s="4" t="s">
        <v>48</v>
      </c>
      <c r="R25" s="4" t="s">
        <v>50</v>
      </c>
      <c r="S25" s="4" t="s">
        <v>49</v>
      </c>
      <c r="T25" s="4" t="s">
        <v>50</v>
      </c>
      <c r="U25" s="4" t="n">
        <v>4</v>
      </c>
      <c r="V25" s="4" t="n">
        <v>3</v>
      </c>
      <c r="W25" s="4" t="n">
        <v>2</v>
      </c>
      <c r="X25" s="4" t="n">
        <v>3</v>
      </c>
      <c r="Y25" s="4" t="n">
        <v>3</v>
      </c>
      <c r="Z25" s="4" t="n">
        <v>2</v>
      </c>
      <c r="AA25" s="4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9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5" t="s">
        <v>51</v>
      </c>
      <c r="B1" s="5" t="s">
        <v>52</v>
      </c>
      <c r="C1" s="5" t="s">
        <v>53</v>
      </c>
      <c r="D1" s="5" t="s">
        <v>54</v>
      </c>
      <c r="E1" s="5" t="s">
        <v>55</v>
      </c>
      <c r="F1" s="5" t="s">
        <v>56</v>
      </c>
    </row>
    <row r="2" customFormat="false" ht="15" hidden="false" customHeight="false" outlineLevel="0" collapsed="false">
      <c r="A2" s="6" t="n">
        <v>1</v>
      </c>
      <c r="B2" s="6" t="s">
        <v>48</v>
      </c>
      <c r="C2" s="6" t="n">
        <v>1</v>
      </c>
      <c r="D2" s="6" t="s">
        <v>57</v>
      </c>
      <c r="E2" s="6" t="s">
        <v>58</v>
      </c>
      <c r="F2" s="6" t="s">
        <v>59</v>
      </c>
    </row>
    <row r="3" customFormat="false" ht="15" hidden="false" customHeight="false" outlineLevel="0" collapsed="false">
      <c r="A3" s="6" t="n">
        <v>2</v>
      </c>
      <c r="B3" s="6" t="s">
        <v>49</v>
      </c>
      <c r="C3" s="6" t="n">
        <v>1</v>
      </c>
      <c r="D3" s="6" t="s">
        <v>57</v>
      </c>
      <c r="E3" s="6" t="s">
        <v>58</v>
      </c>
      <c r="F3" s="6" t="s">
        <v>60</v>
      </c>
    </row>
    <row r="4" customFormat="false" ht="15" hidden="false" customHeight="false" outlineLevel="0" collapsed="false">
      <c r="A4" s="6" t="n">
        <v>3</v>
      </c>
      <c r="B4" s="6" t="s">
        <v>50</v>
      </c>
      <c r="C4" s="6" t="n">
        <v>2</v>
      </c>
      <c r="D4" s="6" t="s">
        <v>57</v>
      </c>
      <c r="E4" s="6" t="s">
        <v>58</v>
      </c>
      <c r="F4" s="6" t="s">
        <v>61</v>
      </c>
    </row>
    <row r="5" customFormat="false" ht="15" hidden="false" customHeight="false" outlineLevel="0" collapsed="false">
      <c r="A5" s="6" t="n">
        <v>4</v>
      </c>
      <c r="B5" s="6" t="s">
        <v>50</v>
      </c>
      <c r="C5" s="6" t="n">
        <v>3</v>
      </c>
      <c r="D5" s="6" t="s">
        <v>62</v>
      </c>
      <c r="E5" s="6" t="s">
        <v>63</v>
      </c>
      <c r="F5" s="6" t="s">
        <v>64</v>
      </c>
    </row>
    <row r="6" customFormat="false" ht="15" hidden="false" customHeight="false" outlineLevel="0" collapsed="false">
      <c r="A6" s="6" t="n">
        <v>5</v>
      </c>
      <c r="B6" s="6" t="s">
        <v>48</v>
      </c>
      <c r="C6" s="6" t="n">
        <v>2</v>
      </c>
      <c r="D6" s="6" t="s">
        <v>57</v>
      </c>
      <c r="E6" s="6" t="s">
        <v>58</v>
      </c>
      <c r="F6" s="6" t="s">
        <v>65</v>
      </c>
    </row>
    <row r="7" customFormat="false" ht="15" hidden="false" customHeight="false" outlineLevel="0" collapsed="false">
      <c r="A7" s="6" t="n">
        <v>6</v>
      </c>
      <c r="B7" s="6" t="s">
        <v>49</v>
      </c>
      <c r="C7" s="6" t="n">
        <v>11</v>
      </c>
      <c r="D7" s="6" t="s">
        <v>57</v>
      </c>
      <c r="E7" s="6" t="s">
        <v>66</v>
      </c>
      <c r="F7" s="6" t="s">
        <v>67</v>
      </c>
    </row>
    <row r="8" customFormat="false" ht="15" hidden="false" customHeight="false" outlineLevel="0" collapsed="false">
      <c r="A8" s="6" t="n">
        <v>7</v>
      </c>
      <c r="B8" s="6" t="s">
        <v>50</v>
      </c>
      <c r="C8" s="6" t="n">
        <v>11</v>
      </c>
      <c r="D8" s="6" t="s">
        <v>57</v>
      </c>
      <c r="E8" s="6" t="s">
        <v>66</v>
      </c>
      <c r="F8" s="6" t="s">
        <v>68</v>
      </c>
    </row>
    <row r="9" customFormat="false" ht="15" hidden="false" customHeight="false" outlineLevel="0" collapsed="false">
      <c r="A9" s="6" t="n">
        <v>8</v>
      </c>
      <c r="B9" s="6" t="s">
        <v>48</v>
      </c>
      <c r="C9" s="6" t="n">
        <v>13</v>
      </c>
      <c r="D9" s="6" t="s">
        <v>62</v>
      </c>
      <c r="E9" s="6" t="s">
        <v>69</v>
      </c>
      <c r="F9" s="6" t="s">
        <v>70</v>
      </c>
    </row>
    <row r="10" customFormat="false" ht="15" hidden="false" customHeight="false" outlineLevel="0" collapsed="false">
      <c r="A10" s="6" t="n">
        <v>9</v>
      </c>
      <c r="B10" s="6" t="s">
        <v>50</v>
      </c>
      <c r="C10" s="6" t="n">
        <v>12</v>
      </c>
      <c r="D10" s="6" t="s">
        <v>57</v>
      </c>
      <c r="E10" s="6" t="s">
        <v>71</v>
      </c>
      <c r="F10" s="6" t="s">
        <v>72</v>
      </c>
    </row>
    <row r="11" customFormat="false" ht="15" hidden="false" customHeight="false" outlineLevel="0" collapsed="false">
      <c r="A11" s="6" t="n">
        <v>10</v>
      </c>
      <c r="B11" s="6" t="s">
        <v>48</v>
      </c>
      <c r="C11" s="6" t="n">
        <v>12</v>
      </c>
      <c r="D11" s="6" t="s">
        <v>57</v>
      </c>
      <c r="E11" s="6" t="s">
        <v>71</v>
      </c>
      <c r="F11" s="6" t="s">
        <v>73</v>
      </c>
    </row>
    <row r="12" customFormat="false" ht="15" hidden="false" customHeight="false" outlineLevel="0" collapsed="false">
      <c r="A12" s="6" t="n">
        <v>11</v>
      </c>
      <c r="B12" s="6" t="s">
        <v>49</v>
      </c>
      <c r="C12" s="6" t="n">
        <v>16</v>
      </c>
      <c r="D12" s="6" t="s">
        <v>57</v>
      </c>
      <c r="E12" s="6" t="s">
        <v>63</v>
      </c>
      <c r="F12" s="6" t="s">
        <v>74</v>
      </c>
    </row>
    <row r="13" customFormat="false" ht="15" hidden="false" customHeight="false" outlineLevel="0" collapsed="false">
      <c r="A13" s="6" t="n">
        <v>12</v>
      </c>
      <c r="B13" s="6" t="s">
        <v>49</v>
      </c>
      <c r="C13" s="6" t="n">
        <v>21</v>
      </c>
      <c r="D13" s="6" t="s">
        <v>62</v>
      </c>
      <c r="E13" s="6" t="s">
        <v>69</v>
      </c>
      <c r="F13" s="6" t="s">
        <v>75</v>
      </c>
    </row>
    <row r="14" customFormat="false" ht="15" hidden="false" customHeight="false" outlineLevel="0" collapsed="false">
      <c r="A14" s="6" t="n">
        <v>13</v>
      </c>
      <c r="B14" s="6" t="s">
        <v>48</v>
      </c>
      <c r="C14" s="6" t="n">
        <v>16</v>
      </c>
      <c r="D14" s="6" t="s">
        <v>57</v>
      </c>
      <c r="E14" s="6" t="s">
        <v>63</v>
      </c>
      <c r="F14" s="6" t="s">
        <v>76</v>
      </c>
    </row>
    <row r="15" customFormat="false" ht="15" hidden="false" customHeight="false" outlineLevel="0" collapsed="false">
      <c r="A15" s="6" t="n">
        <v>14</v>
      </c>
      <c r="B15" s="6" t="s">
        <v>50</v>
      </c>
      <c r="C15" s="6" t="n">
        <v>23</v>
      </c>
      <c r="D15" s="6" t="s">
        <v>57</v>
      </c>
      <c r="E15" s="6" t="s">
        <v>77</v>
      </c>
      <c r="F15" s="6" t="s">
        <v>78</v>
      </c>
    </row>
    <row r="16" customFormat="false" ht="15" hidden="false" customHeight="false" outlineLevel="0" collapsed="false">
      <c r="A16" s="6" t="n">
        <v>15</v>
      </c>
      <c r="B16" s="6" t="s">
        <v>49</v>
      </c>
      <c r="C16" s="6" t="n">
        <v>23</v>
      </c>
      <c r="D16" s="6" t="s">
        <v>57</v>
      </c>
      <c r="E16" s="6" t="s">
        <v>77</v>
      </c>
      <c r="F16" s="6" t="s">
        <v>79</v>
      </c>
    </row>
    <row r="17" customFormat="false" ht="15" hidden="false" customHeight="false" outlineLevel="0" collapsed="false">
      <c r="A17" s="6" t="n">
        <v>16</v>
      </c>
      <c r="B17" s="6" t="s">
        <v>50</v>
      </c>
      <c r="C17" s="6" t="n">
        <v>22</v>
      </c>
      <c r="D17" s="6" t="s">
        <v>62</v>
      </c>
      <c r="E17" s="6" t="s">
        <v>80</v>
      </c>
      <c r="F17" s="6" t="s">
        <v>81</v>
      </c>
    </row>
    <row r="19" customFormat="false" ht="15" hidden="false" customHeight="false" outlineLevel="0" collapsed="false">
      <c r="A19" s="4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19" min="4" style="0" width="5"/>
    <col collapsed="false" customWidth="true" hidden="false" outlineLevel="0" max="32" min="20" style="0" width="11"/>
  </cols>
  <sheetData>
    <row r="1" customFormat="false" ht="31.5" hidden="false" customHeight="true" outlineLevel="0" collapsed="false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  <c r="K1" s="7" t="s">
        <v>29</v>
      </c>
      <c r="L1" s="7" t="s">
        <v>30</v>
      </c>
      <c r="M1" s="7" t="s">
        <v>31</v>
      </c>
      <c r="N1" s="7" t="s">
        <v>32</v>
      </c>
      <c r="O1" s="7" t="s">
        <v>33</v>
      </c>
      <c r="P1" s="7" t="s">
        <v>34</v>
      </c>
      <c r="Q1" s="7" t="s">
        <v>35</v>
      </c>
      <c r="R1" s="7" t="s">
        <v>36</v>
      </c>
      <c r="S1" s="7" t="s">
        <v>37</v>
      </c>
      <c r="T1" s="7" t="s">
        <v>83</v>
      </c>
      <c r="U1" s="7" t="s">
        <v>84</v>
      </c>
      <c r="V1" s="7" t="s">
        <v>85</v>
      </c>
      <c r="W1" s="7" t="s">
        <v>86</v>
      </c>
      <c r="X1" s="7" t="s">
        <v>87</v>
      </c>
      <c r="Y1" s="7" t="s">
        <v>88</v>
      </c>
      <c r="Z1" s="7" t="s">
        <v>89</v>
      </c>
      <c r="AA1" s="7" t="s">
        <v>90</v>
      </c>
      <c r="AB1" s="7" t="s">
        <v>91</v>
      </c>
      <c r="AC1" s="7" t="s">
        <v>92</v>
      </c>
      <c r="AD1" s="7" t="s">
        <v>93</v>
      </c>
      <c r="AE1" s="7" t="s">
        <v>94</v>
      </c>
      <c r="AF1" s="7" t="s">
        <v>95</v>
      </c>
    </row>
    <row r="2" customFormat="false" ht="15" hidden="false" customHeight="false" outlineLevel="0" collapsed="false">
      <c r="A2" s="4" t="s">
        <v>96</v>
      </c>
      <c r="D2" s="8" t="str">
        <f aca="false">Key!$B$2</f>
        <v>A</v>
      </c>
      <c r="E2" s="8" t="str">
        <f aca="false">Key!$B$3</f>
        <v>C</v>
      </c>
      <c r="F2" s="8" t="str">
        <f aca="false">Key!$B$4</f>
        <v>B</v>
      </c>
      <c r="G2" s="8" t="str">
        <f aca="false">Key!$B$5</f>
        <v>B</v>
      </c>
      <c r="H2" s="8" t="str">
        <f aca="false">Key!$B$6</f>
        <v>A</v>
      </c>
      <c r="I2" s="8" t="str">
        <f aca="false">Key!$B$7</f>
        <v>C</v>
      </c>
      <c r="J2" s="8" t="str">
        <f aca="false">Key!$B$8</f>
        <v>B</v>
      </c>
      <c r="K2" s="8" t="str">
        <f aca="false">Key!$B$9</f>
        <v>A</v>
      </c>
      <c r="L2" s="8" t="str">
        <f aca="false">Key!$B$10</f>
        <v>B</v>
      </c>
      <c r="M2" s="8" t="str">
        <f aca="false">Key!$B$11</f>
        <v>A</v>
      </c>
      <c r="N2" s="8" t="str">
        <f aca="false">Key!$B$12</f>
        <v>C</v>
      </c>
      <c r="O2" s="8" t="str">
        <f aca="false">Key!$B$13</f>
        <v>C</v>
      </c>
      <c r="P2" s="8" t="str">
        <f aca="false">Key!$B$14</f>
        <v>A</v>
      </c>
      <c r="Q2" s="8" t="str">
        <f aca="false">Key!$B$15</f>
        <v>B</v>
      </c>
      <c r="R2" s="8" t="str">
        <f aca="false">Key!$B$16</f>
        <v>C</v>
      </c>
      <c r="S2" s="8" t="str">
        <f aca="false">Key!$B$17</f>
        <v>B</v>
      </c>
    </row>
    <row r="3" customFormat="false" ht="15" hidden="false" customHeight="false" outlineLevel="0" collapsed="false">
      <c r="A3" s="4" t="s">
        <v>97</v>
      </c>
      <c r="D3" s="8" t="n">
        <f aca="false">IF(Key!$D$2="Yes",1,0)</f>
        <v>1</v>
      </c>
      <c r="E3" s="8" t="n">
        <f aca="false">IF(Key!$D$3="Yes",1,0)</f>
        <v>1</v>
      </c>
      <c r="F3" s="8" t="n">
        <f aca="false">IF(Key!$D$4="Yes",1,0)</f>
        <v>1</v>
      </c>
      <c r="G3" s="8" t="n">
        <f aca="false">IF(Key!$D$5="Yes",1,0)</f>
        <v>0</v>
      </c>
      <c r="H3" s="8" t="n">
        <f aca="false">IF(Key!$D$6="Yes",1,0)</f>
        <v>1</v>
      </c>
      <c r="I3" s="8" t="n">
        <f aca="false">IF(Key!$D$7="Yes",1,0)</f>
        <v>1</v>
      </c>
      <c r="J3" s="8" t="n">
        <f aca="false">IF(Key!$D$8="Yes",1,0)</f>
        <v>1</v>
      </c>
      <c r="K3" s="8" t="n">
        <f aca="false">IF(Key!$D$9="Yes",1,0)</f>
        <v>0</v>
      </c>
      <c r="L3" s="8" t="n">
        <f aca="false">IF(Key!$D$10="Yes",1,0)</f>
        <v>1</v>
      </c>
      <c r="M3" s="8" t="n">
        <f aca="false">IF(Key!$D$11="Yes",1,0)</f>
        <v>1</v>
      </c>
      <c r="N3" s="8" t="n">
        <f aca="false">IF(Key!$D$12="Yes",1,0)</f>
        <v>1</v>
      </c>
      <c r="O3" s="8" t="n">
        <f aca="false">IF(Key!$D$13="Yes",1,0)</f>
        <v>0</v>
      </c>
      <c r="P3" s="8" t="n">
        <f aca="false">IF(Key!$D$14="Yes",1,0)</f>
        <v>1</v>
      </c>
      <c r="Q3" s="8" t="n">
        <f aca="false">IF(Key!$D$15="Yes",1,0)</f>
        <v>1</v>
      </c>
      <c r="R3" s="8" t="n">
        <f aca="false">IF(Key!$D$16="Yes",1,0)</f>
        <v>1</v>
      </c>
      <c r="S3" s="8" t="n">
        <f aca="false">IF(Key!$D$17="Yes",1,0)</f>
        <v>0</v>
      </c>
    </row>
    <row r="4" customFormat="false" ht="15" hidden="false" customHeight="false" outlineLevel="0" collapsed="false">
      <c r="A4" s="9"/>
      <c r="B4" s="9"/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tr">
        <f aca="false">IF(COUNTA(A4,D4:S4)=0,"",SUMPRODUCT(--(D4:S4=D$2:S$2)))</f>
        <v/>
      </c>
      <c r="AB4" s="11" t="str">
        <f aca="false">IF(COUNTA(A4,D4:S4)=0,"",SUMPRODUCT((D4:S4=D$2:S$2)*D$3:S$3))</f>
        <v/>
      </c>
      <c r="AC4" s="11" t="str">
        <f aca="false">IF(COUNTA(A4,D4:S4)=0,"",AA4-AB4)</f>
        <v/>
      </c>
      <c r="AD4" s="12" t="str">
        <f aca="false">IF(COUNT(T4:U4)=0,"",AVERAGE(T4:U4))</f>
        <v/>
      </c>
      <c r="AE4" s="12" t="str">
        <f aca="false">IF(COUNT(V4:Z4)=0,"",AVERAGE(V4:Z4))</f>
        <v/>
      </c>
      <c r="AF4" s="11" t="str">
        <f aca="false">IF(COUNT(T4:U4)&lt;2,"",IF(ABS(T4-U4)&gt;=2,"Check",""))</f>
        <v/>
      </c>
    </row>
    <row r="5" customFormat="false" ht="15" hidden="false" customHeight="false" outlineLevel="0" collapsed="false">
      <c r="A5" s="9"/>
      <c r="B5" s="9"/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1" t="str">
        <f aca="false">IF(COUNTA(A5,D5:S5)=0,"",SUMPRODUCT(--(D5:S5=D$2:S$2)))</f>
        <v/>
      </c>
      <c r="AB5" s="11" t="str">
        <f aca="false">IF(COUNTA(A5,D5:S5)=0,"",SUMPRODUCT((D5:S5=D$2:S$2)*D$3:S$3))</f>
        <v/>
      </c>
      <c r="AC5" s="11" t="str">
        <f aca="false">IF(COUNTA(A5,D5:S5)=0,"",AA5-AB5)</f>
        <v/>
      </c>
      <c r="AD5" s="12" t="str">
        <f aca="false">IF(COUNT(T5:U5)=0,"",AVERAGE(T5:U5))</f>
        <v/>
      </c>
      <c r="AE5" s="12" t="str">
        <f aca="false">IF(COUNT(V5:Z5)=0,"",AVERAGE(V5:Z5))</f>
        <v/>
      </c>
      <c r="AF5" s="11" t="str">
        <f aca="false">IF(COUNT(T5:U5)&lt;2,"",IF(ABS(T5-U5)&gt;=2,"Check",""))</f>
        <v/>
      </c>
    </row>
    <row r="6" customFormat="false" ht="15" hidden="false" customHeight="false" outlineLevel="0" collapsed="false">
      <c r="A6" s="9"/>
      <c r="B6" s="9"/>
      <c r="C6" s="9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1" t="str">
        <f aca="false">IF(COUNTA(A6,D6:S6)=0,"",SUMPRODUCT(--(D6:S6=D$2:S$2)))</f>
        <v/>
      </c>
      <c r="AB6" s="11" t="str">
        <f aca="false">IF(COUNTA(A6,D6:S6)=0,"",SUMPRODUCT((D6:S6=D$2:S$2)*D$3:S$3))</f>
        <v/>
      </c>
      <c r="AC6" s="11" t="str">
        <f aca="false">IF(COUNTA(A6,D6:S6)=0,"",AA6-AB6)</f>
        <v/>
      </c>
      <c r="AD6" s="12" t="str">
        <f aca="false">IF(COUNT(T6:U6)=0,"",AVERAGE(T6:U6))</f>
        <v/>
      </c>
      <c r="AE6" s="12" t="str">
        <f aca="false">IF(COUNT(V6:Z6)=0,"",AVERAGE(V6:Z6))</f>
        <v/>
      </c>
      <c r="AF6" s="11" t="str">
        <f aca="false">IF(COUNT(T6:U6)&lt;2,"",IF(ABS(T6-U6)&gt;=2,"Check",""))</f>
        <v/>
      </c>
    </row>
    <row r="7" customFormat="false" ht="15" hidden="false" customHeight="false" outlineLevel="0" collapsed="false">
      <c r="A7" s="9"/>
      <c r="B7" s="9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1" t="str">
        <f aca="false">IF(COUNTA(A7,D7:S7)=0,"",SUMPRODUCT(--(D7:S7=D$2:S$2)))</f>
        <v/>
      </c>
      <c r="AB7" s="11" t="str">
        <f aca="false">IF(COUNTA(A7,D7:S7)=0,"",SUMPRODUCT((D7:S7=D$2:S$2)*D$3:S$3))</f>
        <v/>
      </c>
      <c r="AC7" s="11" t="str">
        <f aca="false">IF(COUNTA(A7,D7:S7)=0,"",AA7-AB7)</f>
        <v/>
      </c>
      <c r="AD7" s="12" t="str">
        <f aca="false">IF(COUNT(T7:U7)=0,"",AVERAGE(T7:U7))</f>
        <v/>
      </c>
      <c r="AE7" s="12" t="str">
        <f aca="false">IF(COUNT(V7:Z7)=0,"",AVERAGE(V7:Z7))</f>
        <v/>
      </c>
      <c r="AF7" s="11" t="str">
        <f aca="false">IF(COUNT(T7:U7)&lt;2,"",IF(ABS(T7-U7)&gt;=2,"Check",""))</f>
        <v/>
      </c>
    </row>
    <row r="8" customFormat="false" ht="15" hidden="false" customHeight="false" outlineLevel="0" collapsed="false">
      <c r="A8" s="9"/>
      <c r="B8" s="9"/>
      <c r="C8" s="9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1" t="str">
        <f aca="false">IF(COUNTA(A8,D8:S8)=0,"",SUMPRODUCT(--(D8:S8=D$2:S$2)))</f>
        <v/>
      </c>
      <c r="AB8" s="11" t="str">
        <f aca="false">IF(COUNTA(A8,D8:S8)=0,"",SUMPRODUCT((D8:S8=D$2:S$2)*D$3:S$3))</f>
        <v/>
      </c>
      <c r="AC8" s="11" t="str">
        <f aca="false">IF(COUNTA(A8,D8:S8)=0,"",AA8-AB8)</f>
        <v/>
      </c>
      <c r="AD8" s="12" t="str">
        <f aca="false">IF(COUNT(T8:U8)=0,"",AVERAGE(T8:U8))</f>
        <v/>
      </c>
      <c r="AE8" s="12" t="str">
        <f aca="false">IF(COUNT(V8:Z8)=0,"",AVERAGE(V8:Z8))</f>
        <v/>
      </c>
      <c r="AF8" s="11" t="str">
        <f aca="false">IF(COUNT(T8:U8)&lt;2,"",IF(ABS(T8-U8)&gt;=2,"Check",""))</f>
        <v/>
      </c>
    </row>
    <row r="9" customFormat="false" ht="15" hidden="false" customHeight="false" outlineLevel="0" collapsed="false">
      <c r="A9" s="9"/>
      <c r="B9" s="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1" t="str">
        <f aca="false">IF(COUNTA(A9,D9:S9)=0,"",SUMPRODUCT(--(D9:S9=D$2:S$2)))</f>
        <v/>
      </c>
      <c r="AB9" s="11" t="str">
        <f aca="false">IF(COUNTA(A9,D9:S9)=0,"",SUMPRODUCT((D9:S9=D$2:S$2)*D$3:S$3))</f>
        <v/>
      </c>
      <c r="AC9" s="11" t="str">
        <f aca="false">IF(COUNTA(A9,D9:S9)=0,"",AA9-AB9)</f>
        <v/>
      </c>
      <c r="AD9" s="12" t="str">
        <f aca="false">IF(COUNT(T9:U9)=0,"",AVERAGE(T9:U9))</f>
        <v/>
      </c>
      <c r="AE9" s="12" t="str">
        <f aca="false">IF(COUNT(V9:Z9)=0,"",AVERAGE(V9:Z9))</f>
        <v/>
      </c>
      <c r="AF9" s="11" t="str">
        <f aca="false">IF(COUNT(T9:U9)&lt;2,"",IF(ABS(T9-U9)&gt;=2,"Check",""))</f>
        <v/>
      </c>
    </row>
    <row r="10" customFormat="false" ht="15" hidden="false" customHeight="false" outlineLevel="0" collapsed="false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 t="str">
        <f aca="false">IF(COUNTA(A10,D10:S10)=0,"",SUMPRODUCT(--(D10:S10=D$2:S$2)))</f>
        <v/>
      </c>
      <c r="AB10" s="11" t="str">
        <f aca="false">IF(COUNTA(A10,D10:S10)=0,"",SUMPRODUCT((D10:S10=D$2:S$2)*D$3:S$3))</f>
        <v/>
      </c>
      <c r="AC10" s="11" t="str">
        <f aca="false">IF(COUNTA(A10,D10:S10)=0,"",AA10-AB10)</f>
        <v/>
      </c>
      <c r="AD10" s="12" t="str">
        <f aca="false">IF(COUNT(T10:U10)=0,"",AVERAGE(T10:U10))</f>
        <v/>
      </c>
      <c r="AE10" s="12" t="str">
        <f aca="false">IF(COUNT(V10:Z10)=0,"",AVERAGE(V10:Z10))</f>
        <v/>
      </c>
      <c r="AF10" s="11" t="str">
        <f aca="false">IF(COUNT(T10:U10)&lt;2,"",IF(ABS(T10-U10)&gt;=2,"Check",""))</f>
        <v/>
      </c>
    </row>
    <row r="11" customFormat="false" ht="15" hidden="false" customHeight="false" outlineLevel="0" collapsed="false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 t="str">
        <f aca="false">IF(COUNTA(A11,D11:S11)=0,"",SUMPRODUCT(--(D11:S11=D$2:S$2)))</f>
        <v/>
      </c>
      <c r="AB11" s="11" t="str">
        <f aca="false">IF(COUNTA(A11,D11:S11)=0,"",SUMPRODUCT((D11:S11=D$2:S$2)*D$3:S$3))</f>
        <v/>
      </c>
      <c r="AC11" s="11" t="str">
        <f aca="false">IF(COUNTA(A11,D11:S11)=0,"",AA11-AB11)</f>
        <v/>
      </c>
      <c r="AD11" s="12" t="str">
        <f aca="false">IF(COUNT(T11:U11)=0,"",AVERAGE(T11:U11))</f>
        <v/>
      </c>
      <c r="AE11" s="12" t="str">
        <f aca="false">IF(COUNT(V11:Z11)=0,"",AVERAGE(V11:Z11))</f>
        <v/>
      </c>
      <c r="AF11" s="11" t="str">
        <f aca="false">IF(COUNT(T11:U11)&lt;2,"",IF(ABS(T11-U11)&gt;=2,"Check",""))</f>
        <v/>
      </c>
    </row>
    <row r="12" customFormat="false" ht="15" hidden="false" customHeight="false" outlineLevel="0" collapsed="false">
      <c r="A12" s="9"/>
      <c r="B12" s="9"/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1" t="str">
        <f aca="false">IF(COUNTA(A12,D12:S12)=0,"",SUMPRODUCT(--(D12:S12=D$2:S$2)))</f>
        <v/>
      </c>
      <c r="AB12" s="11" t="str">
        <f aca="false">IF(COUNTA(A12,D12:S12)=0,"",SUMPRODUCT((D12:S12=D$2:S$2)*D$3:S$3))</f>
        <v/>
      </c>
      <c r="AC12" s="11" t="str">
        <f aca="false">IF(COUNTA(A12,D12:S12)=0,"",AA12-AB12)</f>
        <v/>
      </c>
      <c r="AD12" s="12" t="str">
        <f aca="false">IF(COUNT(T12:U12)=0,"",AVERAGE(T12:U12))</f>
        <v/>
      </c>
      <c r="AE12" s="12" t="str">
        <f aca="false">IF(COUNT(V12:Z12)=0,"",AVERAGE(V12:Z12))</f>
        <v/>
      </c>
      <c r="AF12" s="11" t="str">
        <f aca="false">IF(COUNT(T12:U12)&lt;2,"",IF(ABS(T12-U12)&gt;=2,"Check",""))</f>
        <v/>
      </c>
    </row>
    <row r="13" customFormat="false" ht="15" hidden="false" customHeight="false" outlineLevel="0" collapsed="false">
      <c r="A13" s="9"/>
      <c r="B13" s="9"/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1" t="str">
        <f aca="false">IF(COUNTA(A13,D13:S13)=0,"",SUMPRODUCT(--(D13:S13=D$2:S$2)))</f>
        <v/>
      </c>
      <c r="AB13" s="11" t="str">
        <f aca="false">IF(COUNTA(A13,D13:S13)=0,"",SUMPRODUCT((D13:S13=D$2:S$2)*D$3:S$3))</f>
        <v/>
      </c>
      <c r="AC13" s="11" t="str">
        <f aca="false">IF(COUNTA(A13,D13:S13)=0,"",AA13-AB13)</f>
        <v/>
      </c>
      <c r="AD13" s="12" t="str">
        <f aca="false">IF(COUNT(T13:U13)=0,"",AVERAGE(T13:U13))</f>
        <v/>
      </c>
      <c r="AE13" s="12" t="str">
        <f aca="false">IF(COUNT(V13:Z13)=0,"",AVERAGE(V13:Z13))</f>
        <v/>
      </c>
      <c r="AF13" s="11" t="str">
        <f aca="false">IF(COUNT(T13:U13)&lt;2,"",IF(ABS(T13-U13)&gt;=2,"Check",""))</f>
        <v/>
      </c>
    </row>
    <row r="14" customFormat="false" ht="15" hidden="false" customHeight="false" outlineLevel="0" collapsed="false">
      <c r="A14" s="9"/>
      <c r="B14" s="9"/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1" t="str">
        <f aca="false">IF(COUNTA(A14,D14:S14)=0,"",SUMPRODUCT(--(D14:S14=D$2:S$2)))</f>
        <v/>
      </c>
      <c r="AB14" s="11" t="str">
        <f aca="false">IF(COUNTA(A14,D14:S14)=0,"",SUMPRODUCT((D14:S14=D$2:S$2)*D$3:S$3))</f>
        <v/>
      </c>
      <c r="AC14" s="11" t="str">
        <f aca="false">IF(COUNTA(A14,D14:S14)=0,"",AA14-AB14)</f>
        <v/>
      </c>
      <c r="AD14" s="12" t="str">
        <f aca="false">IF(COUNT(T14:U14)=0,"",AVERAGE(T14:U14))</f>
        <v/>
      </c>
      <c r="AE14" s="12" t="str">
        <f aca="false">IF(COUNT(V14:Z14)=0,"",AVERAGE(V14:Z14))</f>
        <v/>
      </c>
      <c r="AF14" s="11" t="str">
        <f aca="false">IF(COUNT(T14:U14)&lt;2,"",IF(ABS(T14-U14)&gt;=2,"Check",""))</f>
        <v/>
      </c>
    </row>
    <row r="15" customFormat="false" ht="15" hidden="false" customHeight="false" outlineLevel="0" collapsed="false">
      <c r="A15" s="9"/>
      <c r="B15" s="9"/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1" t="str">
        <f aca="false">IF(COUNTA(A15,D15:S15)=0,"",SUMPRODUCT(--(D15:S15=D$2:S$2)))</f>
        <v/>
      </c>
      <c r="AB15" s="11" t="str">
        <f aca="false">IF(COUNTA(A15,D15:S15)=0,"",SUMPRODUCT((D15:S15=D$2:S$2)*D$3:S$3))</f>
        <v/>
      </c>
      <c r="AC15" s="11" t="str">
        <f aca="false">IF(COUNTA(A15,D15:S15)=0,"",AA15-AB15)</f>
        <v/>
      </c>
      <c r="AD15" s="12" t="str">
        <f aca="false">IF(COUNT(T15:U15)=0,"",AVERAGE(T15:U15))</f>
        <v/>
      </c>
      <c r="AE15" s="12" t="str">
        <f aca="false">IF(COUNT(V15:Z15)=0,"",AVERAGE(V15:Z15))</f>
        <v/>
      </c>
      <c r="AF15" s="11" t="str">
        <f aca="false">IF(COUNT(T15:U15)&lt;2,"",IF(ABS(T15-U15)&gt;=2,"Check",""))</f>
        <v/>
      </c>
    </row>
    <row r="16" customFormat="false" ht="15" hidden="false" customHeight="false" outlineLevel="0" collapsed="false">
      <c r="A16" s="9"/>
      <c r="B16" s="9"/>
      <c r="C16" s="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1" t="str">
        <f aca="false">IF(COUNTA(A16,D16:S16)=0,"",SUMPRODUCT(--(D16:S16=D$2:S$2)))</f>
        <v/>
      </c>
      <c r="AB16" s="11" t="str">
        <f aca="false">IF(COUNTA(A16,D16:S16)=0,"",SUMPRODUCT((D16:S16=D$2:S$2)*D$3:S$3))</f>
        <v/>
      </c>
      <c r="AC16" s="11" t="str">
        <f aca="false">IF(COUNTA(A16,D16:S16)=0,"",AA16-AB16)</f>
        <v/>
      </c>
      <c r="AD16" s="12" t="str">
        <f aca="false">IF(COUNT(T16:U16)=0,"",AVERAGE(T16:U16))</f>
        <v/>
      </c>
      <c r="AE16" s="12" t="str">
        <f aca="false">IF(COUNT(V16:Z16)=0,"",AVERAGE(V16:Z16))</f>
        <v/>
      </c>
      <c r="AF16" s="11" t="str">
        <f aca="false">IF(COUNT(T16:U16)&lt;2,"",IF(ABS(T16-U16)&gt;=2,"Check",""))</f>
        <v/>
      </c>
    </row>
    <row r="17" customFormat="false" ht="15" hidden="false" customHeight="false" outlineLevel="0" collapsed="false">
      <c r="A17" s="9"/>
      <c r="B17" s="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1" t="str">
        <f aca="false">IF(COUNTA(A17,D17:S17)=0,"",SUMPRODUCT(--(D17:S17=D$2:S$2)))</f>
        <v/>
      </c>
      <c r="AB17" s="11" t="str">
        <f aca="false">IF(COUNTA(A17,D17:S17)=0,"",SUMPRODUCT((D17:S17=D$2:S$2)*D$3:S$3))</f>
        <v/>
      </c>
      <c r="AC17" s="11" t="str">
        <f aca="false">IF(COUNTA(A17,D17:S17)=0,"",AA17-AB17)</f>
        <v/>
      </c>
      <c r="AD17" s="12" t="str">
        <f aca="false">IF(COUNT(T17:U17)=0,"",AVERAGE(T17:U17))</f>
        <v/>
      </c>
      <c r="AE17" s="12" t="str">
        <f aca="false">IF(COUNT(V17:Z17)=0,"",AVERAGE(V17:Z17))</f>
        <v/>
      </c>
      <c r="AF17" s="11" t="str">
        <f aca="false">IF(COUNT(T17:U17)&lt;2,"",IF(ABS(T17-U17)&gt;=2,"Check",""))</f>
        <v/>
      </c>
    </row>
    <row r="18" customFormat="false" ht="15" hidden="false" customHeight="false" outlineLevel="0" collapsed="false">
      <c r="A18" s="9"/>
      <c r="B18" s="9"/>
      <c r="C18" s="9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1" t="str">
        <f aca="false">IF(COUNTA(A18,D18:S18)=0,"",SUMPRODUCT(--(D18:S18=D$2:S$2)))</f>
        <v/>
      </c>
      <c r="AB18" s="11" t="str">
        <f aca="false">IF(COUNTA(A18,D18:S18)=0,"",SUMPRODUCT((D18:S18=D$2:S$2)*D$3:S$3))</f>
        <v/>
      </c>
      <c r="AC18" s="11" t="str">
        <f aca="false">IF(COUNTA(A18,D18:S18)=0,"",AA18-AB18)</f>
        <v/>
      </c>
      <c r="AD18" s="12" t="str">
        <f aca="false">IF(COUNT(T18:U18)=0,"",AVERAGE(T18:U18))</f>
        <v/>
      </c>
      <c r="AE18" s="12" t="str">
        <f aca="false">IF(COUNT(V18:Z18)=0,"",AVERAGE(V18:Z18))</f>
        <v/>
      </c>
      <c r="AF18" s="11" t="str">
        <f aca="false">IF(COUNT(T18:U18)&lt;2,"",IF(ABS(T18-U18)&gt;=2,"Check",""))</f>
        <v/>
      </c>
    </row>
    <row r="19" customFormat="false" ht="15" hidden="false" customHeight="false" outlineLevel="0" collapsed="false">
      <c r="A19" s="9"/>
      <c r="B19" s="9"/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1" t="str">
        <f aca="false">IF(COUNTA(A19,D19:S19)=0,"",SUMPRODUCT(--(D19:S19=D$2:S$2)))</f>
        <v/>
      </c>
      <c r="AB19" s="11" t="str">
        <f aca="false">IF(COUNTA(A19,D19:S19)=0,"",SUMPRODUCT((D19:S19=D$2:S$2)*D$3:S$3))</f>
        <v/>
      </c>
      <c r="AC19" s="11" t="str">
        <f aca="false">IF(COUNTA(A19,D19:S19)=0,"",AA19-AB19)</f>
        <v/>
      </c>
      <c r="AD19" s="12" t="str">
        <f aca="false">IF(COUNT(T19:U19)=0,"",AVERAGE(T19:U19))</f>
        <v/>
      </c>
      <c r="AE19" s="12" t="str">
        <f aca="false">IF(COUNT(V19:Z19)=0,"",AVERAGE(V19:Z19))</f>
        <v/>
      </c>
      <c r="AF19" s="11" t="str">
        <f aca="false">IF(COUNT(T19:U19)&lt;2,"",IF(ABS(T19-U19)&gt;=2,"Check",""))</f>
        <v/>
      </c>
    </row>
    <row r="20" customFormat="false" ht="15" hidden="false" customHeight="false" outlineLevel="0" collapsed="false">
      <c r="A20" s="9"/>
      <c r="B20" s="9"/>
      <c r="C20" s="9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1" t="str">
        <f aca="false">IF(COUNTA(A20,D20:S20)=0,"",SUMPRODUCT(--(D20:S20=D$2:S$2)))</f>
        <v/>
      </c>
      <c r="AB20" s="11" t="str">
        <f aca="false">IF(COUNTA(A20,D20:S20)=0,"",SUMPRODUCT((D20:S20=D$2:S$2)*D$3:S$3))</f>
        <v/>
      </c>
      <c r="AC20" s="11" t="str">
        <f aca="false">IF(COUNTA(A20,D20:S20)=0,"",AA20-AB20)</f>
        <v/>
      </c>
      <c r="AD20" s="12" t="str">
        <f aca="false">IF(COUNT(T20:U20)=0,"",AVERAGE(T20:U20))</f>
        <v/>
      </c>
      <c r="AE20" s="12" t="str">
        <f aca="false">IF(COUNT(V20:Z20)=0,"",AVERAGE(V20:Z20))</f>
        <v/>
      </c>
      <c r="AF20" s="11" t="str">
        <f aca="false">IF(COUNT(T20:U20)&lt;2,"",IF(ABS(T20-U20)&gt;=2,"Check",""))</f>
        <v/>
      </c>
    </row>
    <row r="21" customFormat="false" ht="15" hidden="false" customHeight="false" outlineLevel="0" collapsed="false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1" t="str">
        <f aca="false">IF(COUNTA(A21,D21:S21)=0,"",SUMPRODUCT(--(D21:S21=D$2:S$2)))</f>
        <v/>
      </c>
      <c r="AB21" s="11" t="str">
        <f aca="false">IF(COUNTA(A21,D21:S21)=0,"",SUMPRODUCT((D21:S21=D$2:S$2)*D$3:S$3))</f>
        <v/>
      </c>
      <c r="AC21" s="11" t="str">
        <f aca="false">IF(COUNTA(A21,D21:S21)=0,"",AA21-AB21)</f>
        <v/>
      </c>
      <c r="AD21" s="12" t="str">
        <f aca="false">IF(COUNT(T21:U21)=0,"",AVERAGE(T21:U21))</f>
        <v/>
      </c>
      <c r="AE21" s="12" t="str">
        <f aca="false">IF(COUNT(V21:Z21)=0,"",AVERAGE(V21:Z21))</f>
        <v/>
      </c>
      <c r="AF21" s="11" t="str">
        <f aca="false">IF(COUNT(T21:U21)&lt;2,"",IF(ABS(T21-U21)&gt;=2,"Check",""))</f>
        <v/>
      </c>
    </row>
    <row r="22" customFormat="false" ht="15" hidden="false" customHeight="false" outlineLevel="0" collapsed="false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1" t="str">
        <f aca="false">IF(COUNTA(A22,D22:S22)=0,"",SUMPRODUCT(--(D22:S22=D$2:S$2)))</f>
        <v/>
      </c>
      <c r="AB22" s="11" t="str">
        <f aca="false">IF(COUNTA(A22,D22:S22)=0,"",SUMPRODUCT((D22:S22=D$2:S$2)*D$3:S$3))</f>
        <v/>
      </c>
      <c r="AC22" s="11" t="str">
        <f aca="false">IF(COUNTA(A22,D22:S22)=0,"",AA22-AB22)</f>
        <v/>
      </c>
      <c r="AD22" s="12" t="str">
        <f aca="false">IF(COUNT(T22:U22)=0,"",AVERAGE(T22:U22))</f>
        <v/>
      </c>
      <c r="AE22" s="12" t="str">
        <f aca="false">IF(COUNT(V22:Z22)=0,"",AVERAGE(V22:Z22))</f>
        <v/>
      </c>
      <c r="AF22" s="11" t="str">
        <f aca="false">IF(COUNT(T22:U22)&lt;2,"",IF(ABS(T22-U22)&gt;=2,"Check",""))</f>
        <v/>
      </c>
    </row>
    <row r="23" customFormat="false" ht="15" hidden="false" customHeight="false" outlineLevel="0" collapsed="false">
      <c r="A23" s="9"/>
      <c r="B23" s="9"/>
      <c r="C23" s="9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1" t="str">
        <f aca="false">IF(COUNTA(A23,D23:S23)=0,"",SUMPRODUCT(--(D23:S23=D$2:S$2)))</f>
        <v/>
      </c>
      <c r="AB23" s="11" t="str">
        <f aca="false">IF(COUNTA(A23,D23:S23)=0,"",SUMPRODUCT((D23:S23=D$2:S$2)*D$3:S$3))</f>
        <v/>
      </c>
      <c r="AC23" s="11" t="str">
        <f aca="false">IF(COUNTA(A23,D23:S23)=0,"",AA23-AB23)</f>
        <v/>
      </c>
      <c r="AD23" s="12" t="str">
        <f aca="false">IF(COUNT(T23:U23)=0,"",AVERAGE(T23:U23))</f>
        <v/>
      </c>
      <c r="AE23" s="12" t="str">
        <f aca="false">IF(COUNT(V23:Z23)=0,"",AVERAGE(V23:Z23))</f>
        <v/>
      </c>
      <c r="AF23" s="11" t="str">
        <f aca="false">IF(COUNT(T23:U23)&lt;2,"",IF(ABS(T23-U23)&gt;=2,"Check",""))</f>
        <v/>
      </c>
    </row>
    <row r="24" customFormat="false" ht="15" hidden="false" customHeight="false" outlineLevel="0" collapsed="false">
      <c r="A24" s="9"/>
      <c r="B24" s="9"/>
      <c r="C24" s="9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1" t="str">
        <f aca="false">IF(COUNTA(A24,D24:S24)=0,"",SUMPRODUCT(--(D24:S24=D$2:S$2)))</f>
        <v/>
      </c>
      <c r="AB24" s="11" t="str">
        <f aca="false">IF(COUNTA(A24,D24:S24)=0,"",SUMPRODUCT((D24:S24=D$2:S$2)*D$3:S$3))</f>
        <v/>
      </c>
      <c r="AC24" s="11" t="str">
        <f aca="false">IF(COUNTA(A24,D24:S24)=0,"",AA24-AB24)</f>
        <v/>
      </c>
      <c r="AD24" s="12" t="str">
        <f aca="false">IF(COUNT(T24:U24)=0,"",AVERAGE(T24:U24))</f>
        <v/>
      </c>
      <c r="AE24" s="12" t="str">
        <f aca="false">IF(COUNT(V24:Z24)=0,"",AVERAGE(V24:Z24))</f>
        <v/>
      </c>
      <c r="AF24" s="11" t="str">
        <f aca="false">IF(COUNT(T24:U24)&lt;2,"",IF(ABS(T24-U24)&gt;=2,"Check",""))</f>
        <v/>
      </c>
    </row>
    <row r="25" customFormat="false" ht="15" hidden="false" customHeight="false" outlineLevel="0" collapsed="false">
      <c r="A25" s="9"/>
      <c r="B25" s="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1" t="str">
        <f aca="false">IF(COUNTA(A25,D25:S25)=0,"",SUMPRODUCT(--(D25:S25=D$2:S$2)))</f>
        <v/>
      </c>
      <c r="AB25" s="11" t="str">
        <f aca="false">IF(COUNTA(A25,D25:S25)=0,"",SUMPRODUCT((D25:S25=D$2:S$2)*D$3:S$3))</f>
        <v/>
      </c>
      <c r="AC25" s="11" t="str">
        <f aca="false">IF(COUNTA(A25,D25:S25)=0,"",AA25-AB25)</f>
        <v/>
      </c>
      <c r="AD25" s="12" t="str">
        <f aca="false">IF(COUNT(T25:U25)=0,"",AVERAGE(T25:U25))</f>
        <v/>
      </c>
      <c r="AE25" s="12" t="str">
        <f aca="false">IF(COUNT(V25:Z25)=0,"",AVERAGE(V25:Z25))</f>
        <v/>
      </c>
      <c r="AF25" s="11" t="str">
        <f aca="false">IF(COUNT(T25:U25)&lt;2,"",IF(ABS(T25-U25)&gt;=2,"Check",""))</f>
        <v/>
      </c>
    </row>
    <row r="26" customFormat="false" ht="15" hidden="false" customHeight="false" outlineLevel="0" collapsed="false">
      <c r="A26" s="9"/>
      <c r="B26" s="9"/>
      <c r="C26" s="9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1" t="str">
        <f aca="false">IF(COUNTA(A26,D26:S26)=0,"",SUMPRODUCT(--(D26:S26=D$2:S$2)))</f>
        <v/>
      </c>
      <c r="AB26" s="11" t="str">
        <f aca="false">IF(COUNTA(A26,D26:S26)=0,"",SUMPRODUCT((D26:S26=D$2:S$2)*D$3:S$3))</f>
        <v/>
      </c>
      <c r="AC26" s="11" t="str">
        <f aca="false">IF(COUNTA(A26,D26:S26)=0,"",AA26-AB26)</f>
        <v/>
      </c>
      <c r="AD26" s="12" t="str">
        <f aca="false">IF(COUNT(T26:U26)=0,"",AVERAGE(T26:U26))</f>
        <v/>
      </c>
      <c r="AE26" s="12" t="str">
        <f aca="false">IF(COUNT(V26:Z26)=0,"",AVERAGE(V26:Z26))</f>
        <v/>
      </c>
      <c r="AF26" s="11" t="str">
        <f aca="false">IF(COUNT(T26:U26)&lt;2,"",IF(ABS(T26-U26)&gt;=2,"Check",""))</f>
        <v/>
      </c>
    </row>
    <row r="27" customFormat="false" ht="15" hidden="false" customHeight="false" outlineLevel="0" collapsed="false">
      <c r="A27" s="9"/>
      <c r="B27" s="9"/>
      <c r="C27" s="9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1" t="str">
        <f aca="false">IF(COUNTA(A27,D27:S27)=0,"",SUMPRODUCT(--(D27:S27=D$2:S$2)))</f>
        <v/>
      </c>
      <c r="AB27" s="11" t="str">
        <f aca="false">IF(COUNTA(A27,D27:S27)=0,"",SUMPRODUCT((D27:S27=D$2:S$2)*D$3:S$3))</f>
        <v/>
      </c>
      <c r="AC27" s="11" t="str">
        <f aca="false">IF(COUNTA(A27,D27:S27)=0,"",AA27-AB27)</f>
        <v/>
      </c>
      <c r="AD27" s="12" t="str">
        <f aca="false">IF(COUNT(T27:U27)=0,"",AVERAGE(T27:U27))</f>
        <v/>
      </c>
      <c r="AE27" s="12" t="str">
        <f aca="false">IF(COUNT(V27:Z27)=0,"",AVERAGE(V27:Z27))</f>
        <v/>
      </c>
      <c r="AF27" s="11" t="str">
        <f aca="false">IF(COUNT(T27:U27)&lt;2,"",IF(ABS(T27-U27)&gt;=2,"Check",""))</f>
        <v/>
      </c>
    </row>
    <row r="28" customFormat="false" ht="15" hidden="false" customHeight="false" outlineLevel="0" collapsed="false">
      <c r="A28" s="9"/>
      <c r="B28" s="9"/>
      <c r="C28" s="9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1" t="str">
        <f aca="false">IF(COUNTA(A28,D28:S28)=0,"",SUMPRODUCT(--(D28:S28=D$2:S$2)))</f>
        <v/>
      </c>
      <c r="AB28" s="11" t="str">
        <f aca="false">IF(COUNTA(A28,D28:S28)=0,"",SUMPRODUCT((D28:S28=D$2:S$2)*D$3:S$3))</f>
        <v/>
      </c>
      <c r="AC28" s="11" t="str">
        <f aca="false">IF(COUNTA(A28,D28:S28)=0,"",AA28-AB28)</f>
        <v/>
      </c>
      <c r="AD28" s="12" t="str">
        <f aca="false">IF(COUNT(T28:U28)=0,"",AVERAGE(T28:U28))</f>
        <v/>
      </c>
      <c r="AE28" s="12" t="str">
        <f aca="false">IF(COUNT(V28:Z28)=0,"",AVERAGE(V28:Z28))</f>
        <v/>
      </c>
      <c r="AF28" s="11" t="str">
        <f aca="false">IF(COUNT(T28:U28)&lt;2,"",IF(ABS(T28-U28)&gt;=2,"Check",""))</f>
        <v/>
      </c>
    </row>
    <row r="29" customFormat="false" ht="15" hidden="false" customHeight="false" outlineLevel="0" collapsed="false">
      <c r="A29" s="9"/>
      <c r="B29" s="9"/>
      <c r="C29" s="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1" t="str">
        <f aca="false">IF(COUNTA(A29,D29:S29)=0,"",SUMPRODUCT(--(D29:S29=D$2:S$2)))</f>
        <v/>
      </c>
      <c r="AB29" s="11" t="str">
        <f aca="false">IF(COUNTA(A29,D29:S29)=0,"",SUMPRODUCT((D29:S29=D$2:S$2)*D$3:S$3))</f>
        <v/>
      </c>
      <c r="AC29" s="11" t="str">
        <f aca="false">IF(COUNTA(A29,D29:S29)=0,"",AA29-AB29)</f>
        <v/>
      </c>
      <c r="AD29" s="12" t="str">
        <f aca="false">IF(COUNT(T29:U29)=0,"",AVERAGE(T29:U29))</f>
        <v/>
      </c>
      <c r="AE29" s="12" t="str">
        <f aca="false">IF(COUNT(V29:Z29)=0,"",AVERAGE(V29:Z29))</f>
        <v/>
      </c>
      <c r="AF29" s="11" t="str">
        <f aca="false">IF(COUNT(T29:U29)&lt;2,"",IF(ABS(T29-U29)&gt;=2,"Check",""))</f>
        <v/>
      </c>
    </row>
    <row r="30" customFormat="false" ht="15" hidden="false" customHeight="false" outlineLevel="0" collapsed="false">
      <c r="A30" s="9"/>
      <c r="B30" s="9"/>
      <c r="C30" s="9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1" t="str">
        <f aca="false">IF(COUNTA(A30,D30:S30)=0,"",SUMPRODUCT(--(D30:S30=D$2:S$2)))</f>
        <v/>
      </c>
      <c r="AB30" s="11" t="str">
        <f aca="false">IF(COUNTA(A30,D30:S30)=0,"",SUMPRODUCT((D30:S30=D$2:S$2)*D$3:S$3))</f>
        <v/>
      </c>
      <c r="AC30" s="11" t="str">
        <f aca="false">IF(COUNTA(A30,D30:S30)=0,"",AA30-AB30)</f>
        <v/>
      </c>
      <c r="AD30" s="12" t="str">
        <f aca="false">IF(COUNT(T30:U30)=0,"",AVERAGE(T30:U30))</f>
        <v/>
      </c>
      <c r="AE30" s="12" t="str">
        <f aca="false">IF(COUNT(V30:Z30)=0,"",AVERAGE(V30:Z30))</f>
        <v/>
      </c>
      <c r="AF30" s="11" t="str">
        <f aca="false">IF(COUNT(T30:U30)&lt;2,"",IF(ABS(T30-U30)&gt;=2,"Check",""))</f>
        <v/>
      </c>
    </row>
    <row r="31" customFormat="false" ht="15" hidden="false" customHeight="false" outlineLevel="0" collapsed="false">
      <c r="A31" s="9"/>
      <c r="B31" s="9"/>
      <c r="C31" s="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1" t="str">
        <f aca="false">IF(COUNTA(A31,D31:S31)=0,"",SUMPRODUCT(--(D31:S31=D$2:S$2)))</f>
        <v/>
      </c>
      <c r="AB31" s="11" t="str">
        <f aca="false">IF(COUNTA(A31,D31:S31)=0,"",SUMPRODUCT((D31:S31=D$2:S$2)*D$3:S$3))</f>
        <v/>
      </c>
      <c r="AC31" s="11" t="str">
        <f aca="false">IF(COUNTA(A31,D31:S31)=0,"",AA31-AB31)</f>
        <v/>
      </c>
      <c r="AD31" s="12" t="str">
        <f aca="false">IF(COUNT(T31:U31)=0,"",AVERAGE(T31:U31))</f>
        <v/>
      </c>
      <c r="AE31" s="12" t="str">
        <f aca="false">IF(COUNT(V31:Z31)=0,"",AVERAGE(V31:Z31))</f>
        <v/>
      </c>
      <c r="AF31" s="11" t="str">
        <f aca="false">IF(COUNT(T31:U31)&lt;2,"",IF(ABS(T31-U31)&gt;=2,"Check",""))</f>
        <v/>
      </c>
    </row>
    <row r="32" customFormat="false" ht="15" hidden="false" customHeight="false" outlineLevel="0" collapsed="false">
      <c r="A32" s="9"/>
      <c r="B32" s="9"/>
      <c r="C32" s="9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1" t="str">
        <f aca="false">IF(COUNTA(A32,D32:S32)=0,"",SUMPRODUCT(--(D32:S32=D$2:S$2)))</f>
        <v/>
      </c>
      <c r="AB32" s="11" t="str">
        <f aca="false">IF(COUNTA(A32,D32:S32)=0,"",SUMPRODUCT((D32:S32=D$2:S$2)*D$3:S$3))</f>
        <v/>
      </c>
      <c r="AC32" s="11" t="str">
        <f aca="false">IF(COUNTA(A32,D32:S32)=0,"",AA32-AB32)</f>
        <v/>
      </c>
      <c r="AD32" s="12" t="str">
        <f aca="false">IF(COUNT(T32:U32)=0,"",AVERAGE(T32:U32))</f>
        <v/>
      </c>
      <c r="AE32" s="12" t="str">
        <f aca="false">IF(COUNT(V32:Z32)=0,"",AVERAGE(V32:Z32))</f>
        <v/>
      </c>
      <c r="AF32" s="11" t="str">
        <f aca="false">IF(COUNT(T32:U32)&lt;2,"",IF(ABS(T32-U32)&gt;=2,"Check",""))</f>
        <v/>
      </c>
    </row>
    <row r="33" customFormat="false" ht="15" hidden="false" customHeight="false" outlineLevel="0" collapsed="false">
      <c r="A33" s="9"/>
      <c r="B33" s="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1" t="str">
        <f aca="false">IF(COUNTA(A33,D33:S33)=0,"",SUMPRODUCT(--(D33:S33=D$2:S$2)))</f>
        <v/>
      </c>
      <c r="AB33" s="11" t="str">
        <f aca="false">IF(COUNTA(A33,D33:S33)=0,"",SUMPRODUCT((D33:S33=D$2:S$2)*D$3:S$3))</f>
        <v/>
      </c>
      <c r="AC33" s="11" t="str">
        <f aca="false">IF(COUNTA(A33,D33:S33)=0,"",AA33-AB33)</f>
        <v/>
      </c>
      <c r="AD33" s="12" t="str">
        <f aca="false">IF(COUNT(T33:U33)=0,"",AVERAGE(T33:U33))</f>
        <v/>
      </c>
      <c r="AE33" s="12" t="str">
        <f aca="false">IF(COUNT(V33:Z33)=0,"",AVERAGE(V33:Z33))</f>
        <v/>
      </c>
      <c r="AF33" s="11" t="str">
        <f aca="false">IF(COUNT(T33:U33)&lt;2,"",IF(ABS(T33-U33)&gt;=2,"Check",""))</f>
        <v/>
      </c>
    </row>
    <row r="34" customFormat="false" ht="15" hidden="false" customHeight="false" outlineLevel="0" collapsed="false">
      <c r="A34" s="9"/>
      <c r="B34" s="9"/>
      <c r="C34" s="9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1" t="str">
        <f aca="false">IF(COUNTA(A34,D34:S34)=0,"",SUMPRODUCT(--(D34:S34=D$2:S$2)))</f>
        <v/>
      </c>
      <c r="AB34" s="11" t="str">
        <f aca="false">IF(COUNTA(A34,D34:S34)=0,"",SUMPRODUCT((D34:S34=D$2:S$2)*D$3:S$3))</f>
        <v/>
      </c>
      <c r="AC34" s="11" t="str">
        <f aca="false">IF(COUNTA(A34,D34:S34)=0,"",AA34-AB34)</f>
        <v/>
      </c>
      <c r="AD34" s="12" t="str">
        <f aca="false">IF(COUNT(T34:U34)=0,"",AVERAGE(T34:U34))</f>
        <v/>
      </c>
      <c r="AE34" s="12" t="str">
        <f aca="false">IF(COUNT(V34:Z34)=0,"",AVERAGE(V34:Z34))</f>
        <v/>
      </c>
      <c r="AF34" s="11" t="str">
        <f aca="false">IF(COUNT(T34:U34)&lt;2,"",IF(ABS(T34-U34)&gt;=2,"Check",""))</f>
        <v/>
      </c>
    </row>
    <row r="35" customFormat="false" ht="15" hidden="false" customHeight="false" outlineLevel="0" collapsed="false">
      <c r="A35" s="9"/>
      <c r="B35" s="9"/>
      <c r="C35" s="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1" t="str">
        <f aca="false">IF(COUNTA(A35,D35:S35)=0,"",SUMPRODUCT(--(D35:S35=D$2:S$2)))</f>
        <v/>
      </c>
      <c r="AB35" s="11" t="str">
        <f aca="false">IF(COUNTA(A35,D35:S35)=0,"",SUMPRODUCT((D35:S35=D$2:S$2)*D$3:S$3))</f>
        <v/>
      </c>
      <c r="AC35" s="11" t="str">
        <f aca="false">IF(COUNTA(A35,D35:S35)=0,"",AA35-AB35)</f>
        <v/>
      </c>
      <c r="AD35" s="12" t="str">
        <f aca="false">IF(COUNT(T35:U35)=0,"",AVERAGE(T35:U35))</f>
        <v/>
      </c>
      <c r="AE35" s="12" t="str">
        <f aca="false">IF(COUNT(V35:Z35)=0,"",AVERAGE(V35:Z35))</f>
        <v/>
      </c>
      <c r="AF35" s="11" t="str">
        <f aca="false">IF(COUNT(T35:U35)&lt;2,"",IF(ABS(T35-U35)&gt;=2,"Check",""))</f>
        <v/>
      </c>
    </row>
    <row r="36" customFormat="false" ht="15" hidden="false" customHeight="false" outlineLevel="0" collapsed="false">
      <c r="A36" s="9"/>
      <c r="B36" s="9"/>
      <c r="C36" s="9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1" t="str">
        <f aca="false">IF(COUNTA(A36,D36:S36)=0,"",SUMPRODUCT(--(D36:S36=D$2:S$2)))</f>
        <v/>
      </c>
      <c r="AB36" s="11" t="str">
        <f aca="false">IF(COUNTA(A36,D36:S36)=0,"",SUMPRODUCT((D36:S36=D$2:S$2)*D$3:S$3))</f>
        <v/>
      </c>
      <c r="AC36" s="11" t="str">
        <f aca="false">IF(COUNTA(A36,D36:S36)=0,"",AA36-AB36)</f>
        <v/>
      </c>
      <c r="AD36" s="12" t="str">
        <f aca="false">IF(COUNT(T36:U36)=0,"",AVERAGE(T36:U36))</f>
        <v/>
      </c>
      <c r="AE36" s="12" t="str">
        <f aca="false">IF(COUNT(V36:Z36)=0,"",AVERAGE(V36:Z36))</f>
        <v/>
      </c>
      <c r="AF36" s="11" t="str">
        <f aca="false">IF(COUNT(T36:U36)&lt;2,"",IF(ABS(T36-U36)&gt;=2,"Check",""))</f>
        <v/>
      </c>
    </row>
    <row r="37" customFormat="false" ht="15" hidden="false" customHeight="false" outlineLevel="0" collapsed="false">
      <c r="A37" s="9"/>
      <c r="B37" s="9"/>
      <c r="C37" s="9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1" t="str">
        <f aca="false">IF(COUNTA(A37,D37:S37)=0,"",SUMPRODUCT(--(D37:S37=D$2:S$2)))</f>
        <v/>
      </c>
      <c r="AB37" s="11" t="str">
        <f aca="false">IF(COUNTA(A37,D37:S37)=0,"",SUMPRODUCT((D37:S37=D$2:S$2)*D$3:S$3))</f>
        <v/>
      </c>
      <c r="AC37" s="11" t="str">
        <f aca="false">IF(COUNTA(A37,D37:S37)=0,"",AA37-AB37)</f>
        <v/>
      </c>
      <c r="AD37" s="12" t="str">
        <f aca="false">IF(COUNT(T37:U37)=0,"",AVERAGE(T37:U37))</f>
        <v/>
      </c>
      <c r="AE37" s="12" t="str">
        <f aca="false">IF(COUNT(V37:Z37)=0,"",AVERAGE(V37:Z37))</f>
        <v/>
      </c>
      <c r="AF37" s="11" t="str">
        <f aca="false">IF(COUNT(T37:U37)&lt;2,"",IF(ABS(T37-U37)&gt;=2,"Check",""))</f>
        <v/>
      </c>
    </row>
    <row r="38" customFormat="false" ht="15" hidden="false" customHeight="false" outlineLevel="0" collapsed="false">
      <c r="A38" s="9"/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1" t="str">
        <f aca="false">IF(COUNTA(A38,D38:S38)=0,"",SUMPRODUCT(--(D38:S38=D$2:S$2)))</f>
        <v/>
      </c>
      <c r="AB38" s="11" t="str">
        <f aca="false">IF(COUNTA(A38,D38:S38)=0,"",SUMPRODUCT((D38:S38=D$2:S$2)*D$3:S$3))</f>
        <v/>
      </c>
      <c r="AC38" s="11" t="str">
        <f aca="false">IF(COUNTA(A38,D38:S38)=0,"",AA38-AB38)</f>
        <v/>
      </c>
      <c r="AD38" s="12" t="str">
        <f aca="false">IF(COUNT(T38:U38)=0,"",AVERAGE(T38:U38))</f>
        <v/>
      </c>
      <c r="AE38" s="12" t="str">
        <f aca="false">IF(COUNT(V38:Z38)=0,"",AVERAGE(V38:Z38))</f>
        <v/>
      </c>
      <c r="AF38" s="11" t="str">
        <f aca="false">IF(COUNT(T38:U38)&lt;2,"",IF(ABS(T38-U38)&gt;=2,"Check",""))</f>
        <v/>
      </c>
    </row>
    <row r="39" customFormat="false" ht="15" hidden="false" customHeight="false" outlineLevel="0" collapsed="false">
      <c r="A39" s="9"/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1" t="str">
        <f aca="false">IF(COUNTA(A39,D39:S39)=0,"",SUMPRODUCT(--(D39:S39=D$2:S$2)))</f>
        <v/>
      </c>
      <c r="AB39" s="11" t="str">
        <f aca="false">IF(COUNTA(A39,D39:S39)=0,"",SUMPRODUCT((D39:S39=D$2:S$2)*D$3:S$3))</f>
        <v/>
      </c>
      <c r="AC39" s="11" t="str">
        <f aca="false">IF(COUNTA(A39,D39:S39)=0,"",AA39-AB39)</f>
        <v/>
      </c>
      <c r="AD39" s="12" t="str">
        <f aca="false">IF(COUNT(T39:U39)=0,"",AVERAGE(T39:U39))</f>
        <v/>
      </c>
      <c r="AE39" s="12" t="str">
        <f aca="false">IF(COUNT(V39:Z39)=0,"",AVERAGE(V39:Z39))</f>
        <v/>
      </c>
      <c r="AF39" s="11" t="str">
        <f aca="false">IF(COUNT(T39:U39)&lt;2,"",IF(ABS(T39-U39)&gt;=2,"Check",""))</f>
        <v/>
      </c>
    </row>
    <row r="40" customFormat="false" ht="15" hidden="false" customHeight="false" outlineLevel="0" collapsed="false">
      <c r="A40" s="9"/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1" t="str">
        <f aca="false">IF(COUNTA(A40,D40:S40)=0,"",SUMPRODUCT(--(D40:S40=D$2:S$2)))</f>
        <v/>
      </c>
      <c r="AB40" s="11" t="str">
        <f aca="false">IF(COUNTA(A40,D40:S40)=0,"",SUMPRODUCT((D40:S40=D$2:S$2)*D$3:S$3))</f>
        <v/>
      </c>
      <c r="AC40" s="11" t="str">
        <f aca="false">IF(COUNTA(A40,D40:S40)=0,"",AA40-AB40)</f>
        <v/>
      </c>
      <c r="AD40" s="12" t="str">
        <f aca="false">IF(COUNT(T40:U40)=0,"",AVERAGE(T40:U40))</f>
        <v/>
      </c>
      <c r="AE40" s="12" t="str">
        <f aca="false">IF(COUNT(V40:Z40)=0,"",AVERAGE(V40:Z40))</f>
        <v/>
      </c>
      <c r="AF40" s="11" t="str">
        <f aca="false">IF(COUNT(T40:U40)&lt;2,"",IF(ABS(T40-U40)&gt;=2,"Check",""))</f>
        <v/>
      </c>
    </row>
    <row r="41" customFormat="false" ht="15" hidden="false" customHeight="false" outlineLevel="0" collapsed="false">
      <c r="A41" s="9"/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1" t="str">
        <f aca="false">IF(COUNTA(A41,D41:S41)=0,"",SUMPRODUCT(--(D41:S41=D$2:S$2)))</f>
        <v/>
      </c>
      <c r="AB41" s="11" t="str">
        <f aca="false">IF(COUNTA(A41,D41:S41)=0,"",SUMPRODUCT((D41:S41=D$2:S$2)*D$3:S$3))</f>
        <v/>
      </c>
      <c r="AC41" s="11" t="str">
        <f aca="false">IF(COUNTA(A41,D41:S41)=0,"",AA41-AB41)</f>
        <v/>
      </c>
      <c r="AD41" s="12" t="str">
        <f aca="false">IF(COUNT(T41:U41)=0,"",AVERAGE(T41:U41))</f>
        <v/>
      </c>
      <c r="AE41" s="12" t="str">
        <f aca="false">IF(COUNT(V41:Z41)=0,"",AVERAGE(V41:Z41))</f>
        <v/>
      </c>
      <c r="AF41" s="11" t="str">
        <f aca="false">IF(COUNT(T41:U41)&lt;2,"",IF(ABS(T41-U41)&gt;=2,"Check",""))</f>
        <v/>
      </c>
    </row>
    <row r="42" customFormat="false" ht="15" hidden="false" customHeight="false" outlineLevel="0" collapsed="false">
      <c r="A42" s="9"/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1" t="str">
        <f aca="false">IF(COUNTA(A42,D42:S42)=0,"",SUMPRODUCT(--(D42:S42=D$2:S$2)))</f>
        <v/>
      </c>
      <c r="AB42" s="11" t="str">
        <f aca="false">IF(COUNTA(A42,D42:S42)=0,"",SUMPRODUCT((D42:S42=D$2:S$2)*D$3:S$3))</f>
        <v/>
      </c>
      <c r="AC42" s="11" t="str">
        <f aca="false">IF(COUNTA(A42,D42:S42)=0,"",AA42-AB42)</f>
        <v/>
      </c>
      <c r="AD42" s="12" t="str">
        <f aca="false">IF(COUNT(T42:U42)=0,"",AVERAGE(T42:U42))</f>
        <v/>
      </c>
      <c r="AE42" s="12" t="str">
        <f aca="false">IF(COUNT(V42:Z42)=0,"",AVERAGE(V42:Z42))</f>
        <v/>
      </c>
      <c r="AF42" s="11" t="str">
        <f aca="false">IF(COUNT(T42:U42)&lt;2,"",IF(ABS(T42-U42)&gt;=2,"Check",""))</f>
        <v/>
      </c>
    </row>
    <row r="43" customFormat="false" ht="15" hidden="false" customHeight="false" outlineLevel="0" collapsed="false">
      <c r="A43" s="9"/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1" t="str">
        <f aca="false">IF(COUNTA(A43,D43:S43)=0,"",SUMPRODUCT(--(D43:S43=D$2:S$2)))</f>
        <v/>
      </c>
      <c r="AB43" s="11" t="str">
        <f aca="false">IF(COUNTA(A43,D43:S43)=0,"",SUMPRODUCT((D43:S43=D$2:S$2)*D$3:S$3))</f>
        <v/>
      </c>
      <c r="AC43" s="11" t="str">
        <f aca="false">IF(COUNTA(A43,D43:S43)=0,"",AA43-AB43)</f>
        <v/>
      </c>
      <c r="AD43" s="12" t="str">
        <f aca="false">IF(COUNT(T43:U43)=0,"",AVERAGE(T43:U43))</f>
        <v/>
      </c>
      <c r="AE43" s="12" t="str">
        <f aca="false">IF(COUNT(V43:Z43)=0,"",AVERAGE(V43:Z43))</f>
        <v/>
      </c>
      <c r="AF43" s="11" t="str">
        <f aca="false">IF(COUNT(T43:U43)&lt;2,"",IF(ABS(T43-U43)&gt;=2,"Check",""))</f>
        <v/>
      </c>
    </row>
    <row r="44" customFormat="false" ht="15" hidden="false" customHeight="false" outlineLevel="0" collapsed="false">
      <c r="A44" s="9"/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1" t="str">
        <f aca="false">IF(COUNTA(A44,D44:S44)=0,"",SUMPRODUCT(--(D44:S44=D$2:S$2)))</f>
        <v/>
      </c>
      <c r="AB44" s="11" t="str">
        <f aca="false">IF(COUNTA(A44,D44:S44)=0,"",SUMPRODUCT((D44:S44=D$2:S$2)*D$3:S$3))</f>
        <v/>
      </c>
      <c r="AC44" s="11" t="str">
        <f aca="false">IF(COUNTA(A44,D44:S44)=0,"",AA44-AB44)</f>
        <v/>
      </c>
      <c r="AD44" s="12" t="str">
        <f aca="false">IF(COUNT(T44:U44)=0,"",AVERAGE(T44:U44))</f>
        <v/>
      </c>
      <c r="AE44" s="12" t="str">
        <f aca="false">IF(COUNT(V44:Z44)=0,"",AVERAGE(V44:Z44))</f>
        <v/>
      </c>
      <c r="AF44" s="11" t="str">
        <f aca="false">IF(COUNT(T44:U44)&lt;2,"",IF(ABS(T44-U44)&gt;=2,"Check",""))</f>
        <v/>
      </c>
    </row>
    <row r="45" customFormat="false" ht="15" hidden="false" customHeight="false" outlineLevel="0" collapsed="false">
      <c r="A45" s="9"/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1" t="str">
        <f aca="false">IF(COUNTA(A45,D45:S45)=0,"",SUMPRODUCT(--(D45:S45=D$2:S$2)))</f>
        <v/>
      </c>
      <c r="AB45" s="11" t="str">
        <f aca="false">IF(COUNTA(A45,D45:S45)=0,"",SUMPRODUCT((D45:S45=D$2:S$2)*D$3:S$3))</f>
        <v/>
      </c>
      <c r="AC45" s="11" t="str">
        <f aca="false">IF(COUNTA(A45,D45:S45)=0,"",AA45-AB45)</f>
        <v/>
      </c>
      <c r="AD45" s="12" t="str">
        <f aca="false">IF(COUNT(T45:U45)=0,"",AVERAGE(T45:U45))</f>
        <v/>
      </c>
      <c r="AE45" s="12" t="str">
        <f aca="false">IF(COUNT(V45:Z45)=0,"",AVERAGE(V45:Z45))</f>
        <v/>
      </c>
      <c r="AF45" s="11" t="str">
        <f aca="false">IF(COUNT(T45:U45)&lt;2,"",IF(ABS(T45-U45)&gt;=2,"Check",""))</f>
        <v/>
      </c>
    </row>
    <row r="46" customFormat="false" ht="15" hidden="false" customHeight="false" outlineLevel="0" collapsed="false">
      <c r="A46" s="9"/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1" t="str">
        <f aca="false">IF(COUNTA(A46,D46:S46)=0,"",SUMPRODUCT(--(D46:S46=D$2:S$2)))</f>
        <v/>
      </c>
      <c r="AB46" s="11" t="str">
        <f aca="false">IF(COUNTA(A46,D46:S46)=0,"",SUMPRODUCT((D46:S46=D$2:S$2)*D$3:S$3))</f>
        <v/>
      </c>
      <c r="AC46" s="11" t="str">
        <f aca="false">IF(COUNTA(A46,D46:S46)=0,"",AA46-AB46)</f>
        <v/>
      </c>
      <c r="AD46" s="12" t="str">
        <f aca="false">IF(COUNT(T46:U46)=0,"",AVERAGE(T46:U46))</f>
        <v/>
      </c>
      <c r="AE46" s="12" t="str">
        <f aca="false">IF(COUNT(V46:Z46)=0,"",AVERAGE(V46:Z46))</f>
        <v/>
      </c>
      <c r="AF46" s="11" t="str">
        <f aca="false">IF(COUNT(T46:U46)&lt;2,"",IF(ABS(T46-U46)&gt;=2,"Check",""))</f>
        <v/>
      </c>
    </row>
    <row r="47" customFormat="false" ht="15" hidden="false" customHeight="false" outlineLevel="0" collapsed="false">
      <c r="A47" s="9"/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1" t="str">
        <f aca="false">IF(COUNTA(A47,D47:S47)=0,"",SUMPRODUCT(--(D47:S47=D$2:S$2)))</f>
        <v/>
      </c>
      <c r="AB47" s="11" t="str">
        <f aca="false">IF(COUNTA(A47,D47:S47)=0,"",SUMPRODUCT((D47:S47=D$2:S$2)*D$3:S$3))</f>
        <v/>
      </c>
      <c r="AC47" s="11" t="str">
        <f aca="false">IF(COUNTA(A47,D47:S47)=0,"",AA47-AB47)</f>
        <v/>
      </c>
      <c r="AD47" s="12" t="str">
        <f aca="false">IF(COUNT(T47:U47)=0,"",AVERAGE(T47:U47))</f>
        <v/>
      </c>
      <c r="AE47" s="12" t="str">
        <f aca="false">IF(COUNT(V47:Z47)=0,"",AVERAGE(V47:Z47))</f>
        <v/>
      </c>
      <c r="AF47" s="11" t="str">
        <f aca="false">IF(COUNT(T47:U47)&lt;2,"",IF(ABS(T47-U47)&gt;=2,"Check",""))</f>
        <v/>
      </c>
    </row>
    <row r="48" customFormat="false" ht="15" hidden="false" customHeight="false" outlineLevel="0" collapsed="false">
      <c r="A48" s="9"/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1" t="str">
        <f aca="false">IF(COUNTA(A48,D48:S48)=0,"",SUMPRODUCT(--(D48:S48=D$2:S$2)))</f>
        <v/>
      </c>
      <c r="AB48" s="11" t="str">
        <f aca="false">IF(COUNTA(A48,D48:S48)=0,"",SUMPRODUCT((D48:S48=D$2:S$2)*D$3:S$3))</f>
        <v/>
      </c>
      <c r="AC48" s="11" t="str">
        <f aca="false">IF(COUNTA(A48,D48:S48)=0,"",AA48-AB48)</f>
        <v/>
      </c>
      <c r="AD48" s="12" t="str">
        <f aca="false">IF(COUNT(T48:U48)=0,"",AVERAGE(T48:U48))</f>
        <v/>
      </c>
      <c r="AE48" s="12" t="str">
        <f aca="false">IF(COUNT(V48:Z48)=0,"",AVERAGE(V48:Z48))</f>
        <v/>
      </c>
      <c r="AF48" s="11" t="str">
        <f aca="false">IF(COUNT(T48:U48)&lt;2,"",IF(ABS(T48-U48)&gt;=2,"Check",""))</f>
        <v/>
      </c>
    </row>
    <row r="49" customFormat="false" ht="15" hidden="false" customHeight="false" outlineLevel="0" collapsed="false">
      <c r="A49" s="9"/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1" t="str">
        <f aca="false">IF(COUNTA(A49,D49:S49)=0,"",SUMPRODUCT(--(D49:S49=D$2:S$2)))</f>
        <v/>
      </c>
      <c r="AB49" s="11" t="str">
        <f aca="false">IF(COUNTA(A49,D49:S49)=0,"",SUMPRODUCT((D49:S49=D$2:S$2)*D$3:S$3))</f>
        <v/>
      </c>
      <c r="AC49" s="11" t="str">
        <f aca="false">IF(COUNTA(A49,D49:S49)=0,"",AA49-AB49)</f>
        <v/>
      </c>
      <c r="AD49" s="12" t="str">
        <f aca="false">IF(COUNT(T49:U49)=0,"",AVERAGE(T49:U49))</f>
        <v/>
      </c>
      <c r="AE49" s="12" t="str">
        <f aca="false">IF(COUNT(V49:Z49)=0,"",AVERAGE(V49:Z49))</f>
        <v/>
      </c>
      <c r="AF49" s="11" t="str">
        <f aca="false">IF(COUNT(T49:U49)&lt;2,"",IF(ABS(T49-U49)&gt;=2,"Check",""))</f>
        <v/>
      </c>
    </row>
    <row r="50" customFormat="false" ht="15" hidden="false" customHeight="false" outlineLevel="0" collapsed="false">
      <c r="A50" s="9"/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1" t="str">
        <f aca="false">IF(COUNTA(A50,D50:S50)=0,"",SUMPRODUCT(--(D50:S50=D$2:S$2)))</f>
        <v/>
      </c>
      <c r="AB50" s="11" t="str">
        <f aca="false">IF(COUNTA(A50,D50:S50)=0,"",SUMPRODUCT((D50:S50=D$2:S$2)*D$3:S$3))</f>
        <v/>
      </c>
      <c r="AC50" s="11" t="str">
        <f aca="false">IF(COUNTA(A50,D50:S50)=0,"",AA50-AB50)</f>
        <v/>
      </c>
      <c r="AD50" s="12" t="str">
        <f aca="false">IF(COUNT(T50:U50)=0,"",AVERAGE(T50:U50))</f>
        <v/>
      </c>
      <c r="AE50" s="12" t="str">
        <f aca="false">IF(COUNT(V50:Z50)=0,"",AVERAGE(V50:Z50))</f>
        <v/>
      </c>
      <c r="AF50" s="11" t="str">
        <f aca="false">IF(COUNT(T50:U50)&lt;2,"",IF(ABS(T50-U50)&gt;=2,"Check",""))</f>
        <v/>
      </c>
    </row>
    <row r="51" customFormat="false" ht="15" hidden="false" customHeight="false" outlineLevel="0" collapsed="false">
      <c r="A51" s="9"/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1" t="str">
        <f aca="false">IF(COUNTA(A51,D51:S51)=0,"",SUMPRODUCT(--(D51:S51=D$2:S$2)))</f>
        <v/>
      </c>
      <c r="AB51" s="11" t="str">
        <f aca="false">IF(COUNTA(A51,D51:S51)=0,"",SUMPRODUCT((D51:S51=D$2:S$2)*D$3:S$3))</f>
        <v/>
      </c>
      <c r="AC51" s="11" t="str">
        <f aca="false">IF(COUNTA(A51,D51:S51)=0,"",AA51-AB51)</f>
        <v/>
      </c>
      <c r="AD51" s="12" t="str">
        <f aca="false">IF(COUNT(T51:U51)=0,"",AVERAGE(T51:U51))</f>
        <v/>
      </c>
      <c r="AE51" s="12" t="str">
        <f aca="false">IF(COUNT(V51:Z51)=0,"",AVERAGE(V51:Z51))</f>
        <v/>
      </c>
      <c r="AF51" s="11" t="str">
        <f aca="false">IF(COUNT(T51:U51)&lt;2,"",IF(ABS(T51-U51)&gt;=2,"Check",""))</f>
        <v/>
      </c>
    </row>
    <row r="52" customFormat="false" ht="15" hidden="false" customHeight="false" outlineLevel="0" collapsed="false">
      <c r="A52" s="9"/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1" t="str">
        <f aca="false">IF(COUNTA(A52,D52:S52)=0,"",SUMPRODUCT(--(D52:S52=D$2:S$2)))</f>
        <v/>
      </c>
      <c r="AB52" s="11" t="str">
        <f aca="false">IF(COUNTA(A52,D52:S52)=0,"",SUMPRODUCT((D52:S52=D$2:S$2)*D$3:S$3))</f>
        <v/>
      </c>
      <c r="AC52" s="11" t="str">
        <f aca="false">IF(COUNTA(A52,D52:S52)=0,"",AA52-AB52)</f>
        <v/>
      </c>
      <c r="AD52" s="12" t="str">
        <f aca="false">IF(COUNT(T52:U52)=0,"",AVERAGE(T52:U52))</f>
        <v/>
      </c>
      <c r="AE52" s="12" t="str">
        <f aca="false">IF(COUNT(V52:Z52)=0,"",AVERAGE(V52:Z52))</f>
        <v/>
      </c>
      <c r="AF52" s="11" t="str">
        <f aca="false">IF(COUNT(T52:U52)&lt;2,"",IF(ABS(T52-U52)&gt;=2,"Check",""))</f>
        <v/>
      </c>
    </row>
    <row r="53" customFormat="false" ht="15" hidden="false" customHeight="false" outlineLevel="0" collapsed="false">
      <c r="A53" s="9"/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1" t="str">
        <f aca="false">IF(COUNTA(A53,D53:S53)=0,"",SUMPRODUCT(--(D53:S53=D$2:S$2)))</f>
        <v/>
      </c>
      <c r="AB53" s="11" t="str">
        <f aca="false">IF(COUNTA(A53,D53:S53)=0,"",SUMPRODUCT((D53:S53=D$2:S$2)*D$3:S$3))</f>
        <v/>
      </c>
      <c r="AC53" s="11" t="str">
        <f aca="false">IF(COUNTA(A53,D53:S53)=0,"",AA53-AB53)</f>
        <v/>
      </c>
      <c r="AD53" s="12" t="str">
        <f aca="false">IF(COUNT(T53:U53)=0,"",AVERAGE(T53:U53))</f>
        <v/>
      </c>
      <c r="AE53" s="12" t="str">
        <f aca="false">IF(COUNT(V53:Z53)=0,"",AVERAGE(V53:Z53))</f>
        <v/>
      </c>
      <c r="AF53" s="11" t="str">
        <f aca="false">IF(COUNT(T53:U53)&lt;2,"",IF(ABS(T53-U53)&gt;=2,"Check",""))</f>
        <v/>
      </c>
    </row>
    <row r="54" customFormat="false" ht="15" hidden="false" customHeight="false" outlineLevel="0" collapsed="false">
      <c r="A54" s="9"/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1" t="str">
        <f aca="false">IF(COUNTA(A54,D54:S54)=0,"",SUMPRODUCT(--(D54:S54=D$2:S$2)))</f>
        <v/>
      </c>
      <c r="AB54" s="11" t="str">
        <f aca="false">IF(COUNTA(A54,D54:S54)=0,"",SUMPRODUCT((D54:S54=D$2:S$2)*D$3:S$3))</f>
        <v/>
      </c>
      <c r="AC54" s="11" t="str">
        <f aca="false">IF(COUNTA(A54,D54:S54)=0,"",AA54-AB54)</f>
        <v/>
      </c>
      <c r="AD54" s="12" t="str">
        <f aca="false">IF(COUNT(T54:U54)=0,"",AVERAGE(T54:U54))</f>
        <v/>
      </c>
      <c r="AE54" s="12" t="str">
        <f aca="false">IF(COUNT(V54:Z54)=0,"",AVERAGE(V54:Z54))</f>
        <v/>
      </c>
      <c r="AF54" s="11" t="str">
        <f aca="false">IF(COUNT(T54:U54)&lt;2,"",IF(ABS(T54-U54)&gt;=2,"Check",""))</f>
        <v/>
      </c>
    </row>
    <row r="55" customFormat="false" ht="15" hidden="false" customHeight="false" outlineLevel="0" collapsed="false">
      <c r="A55" s="9"/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1" t="str">
        <f aca="false">IF(COUNTA(A55,D55:S55)=0,"",SUMPRODUCT(--(D55:S55=D$2:S$2)))</f>
        <v/>
      </c>
      <c r="AB55" s="11" t="str">
        <f aca="false">IF(COUNTA(A55,D55:S55)=0,"",SUMPRODUCT((D55:S55=D$2:S$2)*D$3:S$3))</f>
        <v/>
      </c>
      <c r="AC55" s="11" t="str">
        <f aca="false">IF(COUNTA(A55,D55:S55)=0,"",AA55-AB55)</f>
        <v/>
      </c>
      <c r="AD55" s="12" t="str">
        <f aca="false">IF(COUNT(T55:U55)=0,"",AVERAGE(T55:U55))</f>
        <v/>
      </c>
      <c r="AE55" s="12" t="str">
        <f aca="false">IF(COUNT(V55:Z55)=0,"",AVERAGE(V55:Z55))</f>
        <v/>
      </c>
      <c r="AF55" s="11" t="str">
        <f aca="false">IF(COUNT(T55:U55)&lt;2,"",IF(ABS(T55-U55)&gt;=2,"Check",""))</f>
        <v/>
      </c>
    </row>
    <row r="56" customFormat="false" ht="15" hidden="false" customHeight="false" outlineLevel="0" collapsed="false">
      <c r="A56" s="9"/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1" t="str">
        <f aca="false">IF(COUNTA(A56,D56:S56)=0,"",SUMPRODUCT(--(D56:S56=D$2:S$2)))</f>
        <v/>
      </c>
      <c r="AB56" s="11" t="str">
        <f aca="false">IF(COUNTA(A56,D56:S56)=0,"",SUMPRODUCT((D56:S56=D$2:S$2)*D$3:S$3))</f>
        <v/>
      </c>
      <c r="AC56" s="11" t="str">
        <f aca="false">IF(COUNTA(A56,D56:S56)=0,"",AA56-AB56)</f>
        <v/>
      </c>
      <c r="AD56" s="12" t="str">
        <f aca="false">IF(COUNT(T56:U56)=0,"",AVERAGE(T56:U56))</f>
        <v/>
      </c>
      <c r="AE56" s="12" t="str">
        <f aca="false">IF(COUNT(V56:Z56)=0,"",AVERAGE(V56:Z56))</f>
        <v/>
      </c>
      <c r="AF56" s="11" t="str">
        <f aca="false">IF(COUNT(T56:U56)&lt;2,"",IF(ABS(T56-U56)&gt;=2,"Check",""))</f>
        <v/>
      </c>
    </row>
    <row r="57" customFormat="false" ht="15" hidden="false" customHeight="false" outlineLevel="0" collapsed="false">
      <c r="A57" s="9"/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1" t="str">
        <f aca="false">IF(COUNTA(A57,D57:S57)=0,"",SUMPRODUCT(--(D57:S57=D$2:S$2)))</f>
        <v/>
      </c>
      <c r="AB57" s="11" t="str">
        <f aca="false">IF(COUNTA(A57,D57:S57)=0,"",SUMPRODUCT((D57:S57=D$2:S$2)*D$3:S$3))</f>
        <v/>
      </c>
      <c r="AC57" s="11" t="str">
        <f aca="false">IF(COUNTA(A57,D57:S57)=0,"",AA57-AB57)</f>
        <v/>
      </c>
      <c r="AD57" s="12" t="str">
        <f aca="false">IF(COUNT(T57:U57)=0,"",AVERAGE(T57:U57))</f>
        <v/>
      </c>
      <c r="AE57" s="12" t="str">
        <f aca="false">IF(COUNT(V57:Z57)=0,"",AVERAGE(V57:Z57))</f>
        <v/>
      </c>
      <c r="AF57" s="11" t="str">
        <f aca="false">IF(COUNT(T57:U57)&lt;2,"",IF(ABS(T57-U57)&gt;=2,"Check",""))</f>
        <v/>
      </c>
    </row>
    <row r="58" customFormat="false" ht="15" hidden="false" customHeight="false" outlineLevel="0" collapsed="false">
      <c r="A58" s="9"/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1" t="str">
        <f aca="false">IF(COUNTA(A58,D58:S58)=0,"",SUMPRODUCT(--(D58:S58=D$2:S$2)))</f>
        <v/>
      </c>
      <c r="AB58" s="11" t="str">
        <f aca="false">IF(COUNTA(A58,D58:S58)=0,"",SUMPRODUCT((D58:S58=D$2:S$2)*D$3:S$3))</f>
        <v/>
      </c>
      <c r="AC58" s="11" t="str">
        <f aca="false">IF(COUNTA(A58,D58:S58)=0,"",AA58-AB58)</f>
        <v/>
      </c>
      <c r="AD58" s="12" t="str">
        <f aca="false">IF(COUNT(T58:U58)=0,"",AVERAGE(T58:U58))</f>
        <v/>
      </c>
      <c r="AE58" s="12" t="str">
        <f aca="false">IF(COUNT(V58:Z58)=0,"",AVERAGE(V58:Z58))</f>
        <v/>
      </c>
      <c r="AF58" s="11" t="str">
        <f aca="false">IF(COUNT(T58:U58)&lt;2,"",IF(ABS(T58-U58)&gt;=2,"Check",""))</f>
        <v/>
      </c>
    </row>
    <row r="59" customFormat="false" ht="15" hidden="false" customHeight="false" outlineLevel="0" collapsed="false">
      <c r="A59" s="9"/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1" t="str">
        <f aca="false">IF(COUNTA(A59,D59:S59)=0,"",SUMPRODUCT(--(D59:S59=D$2:S$2)))</f>
        <v/>
      </c>
      <c r="AB59" s="11" t="str">
        <f aca="false">IF(COUNTA(A59,D59:S59)=0,"",SUMPRODUCT((D59:S59=D$2:S$2)*D$3:S$3))</f>
        <v/>
      </c>
      <c r="AC59" s="11" t="str">
        <f aca="false">IF(COUNTA(A59,D59:S59)=0,"",AA59-AB59)</f>
        <v/>
      </c>
      <c r="AD59" s="12" t="str">
        <f aca="false">IF(COUNT(T59:U59)=0,"",AVERAGE(T59:U59))</f>
        <v/>
      </c>
      <c r="AE59" s="12" t="str">
        <f aca="false">IF(COUNT(V59:Z59)=0,"",AVERAGE(V59:Z59))</f>
        <v/>
      </c>
      <c r="AF59" s="11" t="str">
        <f aca="false">IF(COUNT(T59:U59)&lt;2,"",IF(ABS(T59-U59)&gt;=2,"Check",""))</f>
        <v/>
      </c>
    </row>
    <row r="60" customFormat="false" ht="15" hidden="false" customHeight="false" outlineLevel="0" collapsed="false">
      <c r="A60" s="9"/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1" t="str">
        <f aca="false">IF(COUNTA(A60,D60:S60)=0,"",SUMPRODUCT(--(D60:S60=D$2:S$2)))</f>
        <v/>
      </c>
      <c r="AB60" s="11" t="str">
        <f aca="false">IF(COUNTA(A60,D60:S60)=0,"",SUMPRODUCT((D60:S60=D$2:S$2)*D$3:S$3))</f>
        <v/>
      </c>
      <c r="AC60" s="11" t="str">
        <f aca="false">IF(COUNTA(A60,D60:S60)=0,"",AA60-AB60)</f>
        <v/>
      </c>
      <c r="AD60" s="12" t="str">
        <f aca="false">IF(COUNT(T60:U60)=0,"",AVERAGE(T60:U60))</f>
        <v/>
      </c>
      <c r="AE60" s="12" t="str">
        <f aca="false">IF(COUNT(V60:Z60)=0,"",AVERAGE(V60:Z60))</f>
        <v/>
      </c>
      <c r="AF60" s="11" t="str">
        <f aca="false">IF(COUNT(T60:U60)&lt;2,"",IF(ABS(T60-U60)&gt;=2,"Check",""))</f>
        <v/>
      </c>
    </row>
    <row r="61" customFormat="false" ht="15" hidden="false" customHeight="false" outlineLevel="0" collapsed="false">
      <c r="A61" s="9"/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1" t="str">
        <f aca="false">IF(COUNTA(A61,D61:S61)=0,"",SUMPRODUCT(--(D61:S61=D$2:S$2)))</f>
        <v/>
      </c>
      <c r="AB61" s="11" t="str">
        <f aca="false">IF(COUNTA(A61,D61:S61)=0,"",SUMPRODUCT((D61:S61=D$2:S$2)*D$3:S$3))</f>
        <v/>
      </c>
      <c r="AC61" s="11" t="str">
        <f aca="false">IF(COUNTA(A61,D61:S61)=0,"",AA61-AB61)</f>
        <v/>
      </c>
      <c r="AD61" s="12" t="str">
        <f aca="false">IF(COUNT(T61:U61)=0,"",AVERAGE(T61:U61))</f>
        <v/>
      </c>
      <c r="AE61" s="12" t="str">
        <f aca="false">IF(COUNT(V61:Z61)=0,"",AVERAGE(V61:Z61))</f>
        <v/>
      </c>
      <c r="AF61" s="11" t="str">
        <f aca="false">IF(COUNT(T61:U61)&lt;2,"",IF(ABS(T61-U61)&gt;=2,"Check",""))</f>
        <v/>
      </c>
    </row>
    <row r="62" customFormat="false" ht="15" hidden="false" customHeight="false" outlineLevel="0" collapsed="false">
      <c r="A62" s="9"/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1" t="str">
        <f aca="false">IF(COUNTA(A62,D62:S62)=0,"",SUMPRODUCT(--(D62:S62=D$2:S$2)))</f>
        <v/>
      </c>
      <c r="AB62" s="11" t="str">
        <f aca="false">IF(COUNTA(A62,D62:S62)=0,"",SUMPRODUCT((D62:S62=D$2:S$2)*D$3:S$3))</f>
        <v/>
      </c>
      <c r="AC62" s="11" t="str">
        <f aca="false">IF(COUNTA(A62,D62:S62)=0,"",AA62-AB62)</f>
        <v/>
      </c>
      <c r="AD62" s="12" t="str">
        <f aca="false">IF(COUNT(T62:U62)=0,"",AVERAGE(T62:U62))</f>
        <v/>
      </c>
      <c r="AE62" s="12" t="str">
        <f aca="false">IF(COUNT(V62:Z62)=0,"",AVERAGE(V62:Z62))</f>
        <v/>
      </c>
      <c r="AF62" s="11" t="str">
        <f aca="false">IF(COUNT(T62:U62)&lt;2,"",IF(ABS(T62-U62)&gt;=2,"Check",""))</f>
        <v/>
      </c>
    </row>
    <row r="63" customFormat="false" ht="15" hidden="false" customHeight="false" outlineLevel="0" collapsed="false">
      <c r="A63" s="9"/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1" t="str">
        <f aca="false">IF(COUNTA(A63,D63:S63)=0,"",SUMPRODUCT(--(D63:S63=D$2:S$2)))</f>
        <v/>
      </c>
      <c r="AB63" s="11" t="str">
        <f aca="false">IF(COUNTA(A63,D63:S63)=0,"",SUMPRODUCT((D63:S63=D$2:S$2)*D$3:S$3))</f>
        <v/>
      </c>
      <c r="AC63" s="11" t="str">
        <f aca="false">IF(COUNTA(A63,D63:S63)=0,"",AA63-AB63)</f>
        <v/>
      </c>
      <c r="AD63" s="12" t="str">
        <f aca="false">IF(COUNT(T63:U63)=0,"",AVERAGE(T63:U63))</f>
        <v/>
      </c>
      <c r="AE63" s="12" t="str">
        <f aca="false">IF(COUNT(V63:Z63)=0,"",AVERAGE(V63:Z63))</f>
        <v/>
      </c>
      <c r="AF63" s="11" t="str">
        <f aca="false">IF(COUNT(T63:U63)&lt;2,"",IF(ABS(T63-U63)&gt;=2,"Check",""))</f>
        <v/>
      </c>
    </row>
    <row r="64" customFormat="false" ht="15" hidden="false" customHeight="false" outlineLevel="0" collapsed="false">
      <c r="A64" s="9"/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1" t="str">
        <f aca="false">IF(COUNTA(A64,D64:S64)=0,"",SUMPRODUCT(--(D64:S64=D$2:S$2)))</f>
        <v/>
      </c>
      <c r="AB64" s="11" t="str">
        <f aca="false">IF(COUNTA(A64,D64:S64)=0,"",SUMPRODUCT((D64:S64=D$2:S$2)*D$3:S$3))</f>
        <v/>
      </c>
      <c r="AC64" s="11" t="str">
        <f aca="false">IF(COUNTA(A64,D64:S64)=0,"",AA64-AB64)</f>
        <v/>
      </c>
      <c r="AD64" s="12" t="str">
        <f aca="false">IF(COUNT(T64:U64)=0,"",AVERAGE(T64:U64))</f>
        <v/>
      </c>
      <c r="AE64" s="12" t="str">
        <f aca="false">IF(COUNT(V64:Z64)=0,"",AVERAGE(V64:Z64))</f>
        <v/>
      </c>
      <c r="AF64" s="11" t="str">
        <f aca="false">IF(COUNT(T64:U64)&lt;2,"",IF(ABS(T64-U64)&gt;=2,"Check",""))</f>
        <v/>
      </c>
    </row>
    <row r="65" customFormat="false" ht="15" hidden="false" customHeight="false" outlineLevel="0" collapsed="false">
      <c r="A65" s="9"/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1" t="str">
        <f aca="false">IF(COUNTA(A65,D65:S65)=0,"",SUMPRODUCT(--(D65:S65=D$2:S$2)))</f>
        <v/>
      </c>
      <c r="AB65" s="11" t="str">
        <f aca="false">IF(COUNTA(A65,D65:S65)=0,"",SUMPRODUCT((D65:S65=D$2:S$2)*D$3:S$3))</f>
        <v/>
      </c>
      <c r="AC65" s="11" t="str">
        <f aca="false">IF(COUNTA(A65,D65:S65)=0,"",AA65-AB65)</f>
        <v/>
      </c>
      <c r="AD65" s="12" t="str">
        <f aca="false">IF(COUNT(T65:U65)=0,"",AVERAGE(T65:U65))</f>
        <v/>
      </c>
      <c r="AE65" s="12" t="str">
        <f aca="false">IF(COUNT(V65:Z65)=0,"",AVERAGE(V65:Z65))</f>
        <v/>
      </c>
      <c r="AF65" s="11" t="str">
        <f aca="false">IF(COUNT(T65:U65)&lt;2,"",IF(ABS(T65-U65)&gt;=2,"Check",""))</f>
        <v/>
      </c>
    </row>
    <row r="66" customFormat="false" ht="15" hidden="false" customHeight="false" outlineLevel="0" collapsed="false">
      <c r="A66" s="9"/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1" t="str">
        <f aca="false">IF(COUNTA(A66,D66:S66)=0,"",SUMPRODUCT(--(D66:S66=D$2:S$2)))</f>
        <v/>
      </c>
      <c r="AB66" s="11" t="str">
        <f aca="false">IF(COUNTA(A66,D66:S66)=0,"",SUMPRODUCT((D66:S66=D$2:S$2)*D$3:S$3))</f>
        <v/>
      </c>
      <c r="AC66" s="11" t="str">
        <f aca="false">IF(COUNTA(A66,D66:S66)=0,"",AA66-AB66)</f>
        <v/>
      </c>
      <c r="AD66" s="12" t="str">
        <f aca="false">IF(COUNT(T66:U66)=0,"",AVERAGE(T66:U66))</f>
        <v/>
      </c>
      <c r="AE66" s="12" t="str">
        <f aca="false">IF(COUNT(V66:Z66)=0,"",AVERAGE(V66:Z66))</f>
        <v/>
      </c>
      <c r="AF66" s="11" t="str">
        <f aca="false">IF(COUNT(T66:U66)&lt;2,"",IF(ABS(T66-U66)&gt;=2,"Check",""))</f>
        <v/>
      </c>
    </row>
    <row r="67" customFormat="false" ht="15" hidden="false" customHeight="false" outlineLevel="0" collapsed="false">
      <c r="A67" s="9"/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1" t="str">
        <f aca="false">IF(COUNTA(A67,D67:S67)=0,"",SUMPRODUCT(--(D67:S67=D$2:S$2)))</f>
        <v/>
      </c>
      <c r="AB67" s="11" t="str">
        <f aca="false">IF(COUNTA(A67,D67:S67)=0,"",SUMPRODUCT((D67:S67=D$2:S$2)*D$3:S$3))</f>
        <v/>
      </c>
      <c r="AC67" s="11" t="str">
        <f aca="false">IF(COUNTA(A67,D67:S67)=0,"",AA67-AB67)</f>
        <v/>
      </c>
      <c r="AD67" s="12" t="str">
        <f aca="false">IF(COUNT(T67:U67)=0,"",AVERAGE(T67:U67))</f>
        <v/>
      </c>
      <c r="AE67" s="12" t="str">
        <f aca="false">IF(COUNT(V67:Z67)=0,"",AVERAGE(V67:Z67))</f>
        <v/>
      </c>
      <c r="AF67" s="11" t="str">
        <f aca="false">IF(COUNT(T67:U67)&lt;2,"",IF(ABS(T67-U67)&gt;=2,"Check",""))</f>
        <v/>
      </c>
    </row>
    <row r="68" customFormat="false" ht="15" hidden="false" customHeight="false" outlineLevel="0" collapsed="false">
      <c r="A68" s="9"/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1" t="str">
        <f aca="false">IF(COUNTA(A68,D68:S68)=0,"",SUMPRODUCT(--(D68:S68=D$2:S$2)))</f>
        <v/>
      </c>
      <c r="AB68" s="11" t="str">
        <f aca="false">IF(COUNTA(A68,D68:S68)=0,"",SUMPRODUCT((D68:S68=D$2:S$2)*D$3:S$3))</f>
        <v/>
      </c>
      <c r="AC68" s="11" t="str">
        <f aca="false">IF(COUNTA(A68,D68:S68)=0,"",AA68-AB68)</f>
        <v/>
      </c>
      <c r="AD68" s="12" t="str">
        <f aca="false">IF(COUNT(T68:U68)=0,"",AVERAGE(T68:U68))</f>
        <v/>
      </c>
      <c r="AE68" s="12" t="str">
        <f aca="false">IF(COUNT(V68:Z68)=0,"",AVERAGE(V68:Z68))</f>
        <v/>
      </c>
      <c r="AF68" s="11" t="str">
        <f aca="false">IF(COUNT(T68:U68)&lt;2,"",IF(ABS(T68-U68)&gt;=2,"Check",""))</f>
        <v/>
      </c>
    </row>
    <row r="69" customFormat="false" ht="15" hidden="false" customHeight="false" outlineLevel="0" collapsed="false">
      <c r="A69" s="9"/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1" t="str">
        <f aca="false">IF(COUNTA(A69,D69:S69)=0,"",SUMPRODUCT(--(D69:S69=D$2:S$2)))</f>
        <v/>
      </c>
      <c r="AB69" s="11" t="str">
        <f aca="false">IF(COUNTA(A69,D69:S69)=0,"",SUMPRODUCT((D69:S69=D$2:S$2)*D$3:S$3))</f>
        <v/>
      </c>
      <c r="AC69" s="11" t="str">
        <f aca="false">IF(COUNTA(A69,D69:S69)=0,"",AA69-AB69)</f>
        <v/>
      </c>
      <c r="AD69" s="12" t="str">
        <f aca="false">IF(COUNT(T69:U69)=0,"",AVERAGE(T69:U69))</f>
        <v/>
      </c>
      <c r="AE69" s="12" t="str">
        <f aca="false">IF(COUNT(V69:Z69)=0,"",AVERAGE(V69:Z69))</f>
        <v/>
      </c>
      <c r="AF69" s="11" t="str">
        <f aca="false">IF(COUNT(T69:U69)&lt;2,"",IF(ABS(T69-U69)&gt;=2,"Check",""))</f>
        <v/>
      </c>
    </row>
    <row r="70" customFormat="false" ht="15" hidden="false" customHeight="false" outlineLevel="0" collapsed="false">
      <c r="A70" s="9"/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1" t="str">
        <f aca="false">IF(COUNTA(A70,D70:S70)=0,"",SUMPRODUCT(--(D70:S70=D$2:S$2)))</f>
        <v/>
      </c>
      <c r="AB70" s="11" t="str">
        <f aca="false">IF(COUNTA(A70,D70:S70)=0,"",SUMPRODUCT((D70:S70=D$2:S$2)*D$3:S$3))</f>
        <v/>
      </c>
      <c r="AC70" s="11" t="str">
        <f aca="false">IF(COUNTA(A70,D70:S70)=0,"",AA70-AB70)</f>
        <v/>
      </c>
      <c r="AD70" s="12" t="str">
        <f aca="false">IF(COUNT(T70:U70)=0,"",AVERAGE(T70:U70))</f>
        <v/>
      </c>
      <c r="AE70" s="12" t="str">
        <f aca="false">IF(COUNT(V70:Z70)=0,"",AVERAGE(V70:Z70))</f>
        <v/>
      </c>
      <c r="AF70" s="11" t="str">
        <f aca="false">IF(COUNT(T70:U70)&lt;2,"",IF(ABS(T70-U70)&gt;=2,"Check",""))</f>
        <v/>
      </c>
    </row>
    <row r="71" customFormat="false" ht="15" hidden="false" customHeight="false" outlineLevel="0" collapsed="false">
      <c r="A71" s="9"/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1" t="str">
        <f aca="false">IF(COUNTA(A71,D71:S71)=0,"",SUMPRODUCT(--(D71:S71=D$2:S$2)))</f>
        <v/>
      </c>
      <c r="AB71" s="11" t="str">
        <f aca="false">IF(COUNTA(A71,D71:S71)=0,"",SUMPRODUCT((D71:S71=D$2:S$2)*D$3:S$3))</f>
        <v/>
      </c>
      <c r="AC71" s="11" t="str">
        <f aca="false">IF(COUNTA(A71,D71:S71)=0,"",AA71-AB71)</f>
        <v/>
      </c>
      <c r="AD71" s="12" t="str">
        <f aca="false">IF(COUNT(T71:U71)=0,"",AVERAGE(T71:U71))</f>
        <v/>
      </c>
      <c r="AE71" s="12" t="str">
        <f aca="false">IF(COUNT(V71:Z71)=0,"",AVERAGE(V71:Z71))</f>
        <v/>
      </c>
      <c r="AF71" s="11" t="str">
        <f aca="false">IF(COUNT(T71:U71)&lt;2,"",IF(ABS(T71-U71)&gt;=2,"Check",""))</f>
        <v/>
      </c>
    </row>
    <row r="72" customFormat="false" ht="15" hidden="false" customHeight="false" outlineLevel="0" collapsed="false">
      <c r="A72" s="9"/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1" t="str">
        <f aca="false">IF(COUNTA(A72,D72:S72)=0,"",SUMPRODUCT(--(D72:S72=D$2:S$2)))</f>
        <v/>
      </c>
      <c r="AB72" s="11" t="str">
        <f aca="false">IF(COUNTA(A72,D72:S72)=0,"",SUMPRODUCT((D72:S72=D$2:S$2)*D$3:S$3))</f>
        <v/>
      </c>
      <c r="AC72" s="11" t="str">
        <f aca="false">IF(COUNTA(A72,D72:S72)=0,"",AA72-AB72)</f>
        <v/>
      </c>
      <c r="AD72" s="12" t="str">
        <f aca="false">IF(COUNT(T72:U72)=0,"",AVERAGE(T72:U72))</f>
        <v/>
      </c>
      <c r="AE72" s="12" t="str">
        <f aca="false">IF(COUNT(V72:Z72)=0,"",AVERAGE(V72:Z72))</f>
        <v/>
      </c>
      <c r="AF72" s="11" t="str">
        <f aca="false">IF(COUNT(T72:U72)&lt;2,"",IF(ABS(T72-U72)&gt;=2,"Check",""))</f>
        <v/>
      </c>
    </row>
    <row r="73" customFormat="false" ht="15" hidden="false" customHeight="false" outlineLevel="0" collapsed="false">
      <c r="A73" s="9"/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1" t="str">
        <f aca="false">IF(COUNTA(A73,D73:S73)=0,"",SUMPRODUCT(--(D73:S73=D$2:S$2)))</f>
        <v/>
      </c>
      <c r="AB73" s="11" t="str">
        <f aca="false">IF(COUNTA(A73,D73:S73)=0,"",SUMPRODUCT((D73:S73=D$2:S$2)*D$3:S$3))</f>
        <v/>
      </c>
      <c r="AC73" s="11" t="str">
        <f aca="false">IF(COUNTA(A73,D73:S73)=0,"",AA73-AB73)</f>
        <v/>
      </c>
      <c r="AD73" s="12" t="str">
        <f aca="false">IF(COUNT(T73:U73)=0,"",AVERAGE(T73:U73))</f>
        <v/>
      </c>
      <c r="AE73" s="12" t="str">
        <f aca="false">IF(COUNT(V73:Z73)=0,"",AVERAGE(V73:Z73))</f>
        <v/>
      </c>
      <c r="AF73" s="11" t="str">
        <f aca="false">IF(COUNT(T73:U73)&lt;2,"",IF(ABS(T73-U73)&gt;=2,"Check",""))</f>
        <v/>
      </c>
    </row>
    <row r="74" customFormat="false" ht="15" hidden="false" customHeight="false" outlineLevel="0" collapsed="false">
      <c r="A74" s="9"/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1" t="str">
        <f aca="false">IF(COUNTA(A74,D74:S74)=0,"",SUMPRODUCT(--(D74:S74=D$2:S$2)))</f>
        <v/>
      </c>
      <c r="AB74" s="11" t="str">
        <f aca="false">IF(COUNTA(A74,D74:S74)=0,"",SUMPRODUCT((D74:S74=D$2:S$2)*D$3:S$3))</f>
        <v/>
      </c>
      <c r="AC74" s="11" t="str">
        <f aca="false">IF(COUNTA(A74,D74:S74)=0,"",AA74-AB74)</f>
        <v/>
      </c>
      <c r="AD74" s="12" t="str">
        <f aca="false">IF(COUNT(T74:U74)=0,"",AVERAGE(T74:U74))</f>
        <v/>
      </c>
      <c r="AE74" s="12" t="str">
        <f aca="false">IF(COUNT(V74:Z74)=0,"",AVERAGE(V74:Z74))</f>
        <v/>
      </c>
      <c r="AF74" s="11" t="str">
        <f aca="false">IF(COUNT(T74:U74)&lt;2,"",IF(ABS(T74-U74)&gt;=2,"Check",""))</f>
        <v/>
      </c>
    </row>
    <row r="75" customFormat="false" ht="15" hidden="false" customHeight="false" outlineLevel="0" collapsed="false">
      <c r="A75" s="9"/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1" t="str">
        <f aca="false">IF(COUNTA(A75,D75:S75)=0,"",SUMPRODUCT(--(D75:S75=D$2:S$2)))</f>
        <v/>
      </c>
      <c r="AB75" s="11" t="str">
        <f aca="false">IF(COUNTA(A75,D75:S75)=0,"",SUMPRODUCT((D75:S75=D$2:S$2)*D$3:S$3))</f>
        <v/>
      </c>
      <c r="AC75" s="11" t="str">
        <f aca="false">IF(COUNTA(A75,D75:S75)=0,"",AA75-AB75)</f>
        <v/>
      </c>
      <c r="AD75" s="12" t="str">
        <f aca="false">IF(COUNT(T75:U75)=0,"",AVERAGE(T75:U75))</f>
        <v/>
      </c>
      <c r="AE75" s="12" t="str">
        <f aca="false">IF(COUNT(V75:Z75)=0,"",AVERAGE(V75:Z75))</f>
        <v/>
      </c>
      <c r="AF75" s="11" t="str">
        <f aca="false">IF(COUNT(T75:U75)&lt;2,"",IF(ABS(T75-U75)&gt;=2,"Check",""))</f>
        <v/>
      </c>
    </row>
    <row r="76" customFormat="false" ht="15" hidden="false" customHeight="false" outlineLevel="0" collapsed="false">
      <c r="A76" s="9"/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1" t="str">
        <f aca="false">IF(COUNTA(A76,D76:S76)=0,"",SUMPRODUCT(--(D76:S76=D$2:S$2)))</f>
        <v/>
      </c>
      <c r="AB76" s="11" t="str">
        <f aca="false">IF(COUNTA(A76,D76:S76)=0,"",SUMPRODUCT((D76:S76=D$2:S$2)*D$3:S$3))</f>
        <v/>
      </c>
      <c r="AC76" s="11" t="str">
        <f aca="false">IF(COUNTA(A76,D76:S76)=0,"",AA76-AB76)</f>
        <v/>
      </c>
      <c r="AD76" s="12" t="str">
        <f aca="false">IF(COUNT(T76:U76)=0,"",AVERAGE(T76:U76))</f>
        <v/>
      </c>
      <c r="AE76" s="12" t="str">
        <f aca="false">IF(COUNT(V76:Z76)=0,"",AVERAGE(V76:Z76))</f>
        <v/>
      </c>
      <c r="AF76" s="11" t="str">
        <f aca="false">IF(COUNT(T76:U76)&lt;2,"",IF(ABS(T76-U76)&gt;=2,"Check",""))</f>
        <v/>
      </c>
    </row>
    <row r="77" customFormat="false" ht="15" hidden="false" customHeight="false" outlineLevel="0" collapsed="false">
      <c r="A77" s="9"/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1" t="str">
        <f aca="false">IF(COUNTA(A77,D77:S77)=0,"",SUMPRODUCT(--(D77:S77=D$2:S$2)))</f>
        <v/>
      </c>
      <c r="AB77" s="11" t="str">
        <f aca="false">IF(COUNTA(A77,D77:S77)=0,"",SUMPRODUCT((D77:S77=D$2:S$2)*D$3:S$3))</f>
        <v/>
      </c>
      <c r="AC77" s="11" t="str">
        <f aca="false">IF(COUNTA(A77,D77:S77)=0,"",AA77-AB77)</f>
        <v/>
      </c>
      <c r="AD77" s="12" t="str">
        <f aca="false">IF(COUNT(T77:U77)=0,"",AVERAGE(T77:U77))</f>
        <v/>
      </c>
      <c r="AE77" s="12" t="str">
        <f aca="false">IF(COUNT(V77:Z77)=0,"",AVERAGE(V77:Z77))</f>
        <v/>
      </c>
      <c r="AF77" s="11" t="str">
        <f aca="false">IF(COUNT(T77:U77)&lt;2,"",IF(ABS(T77-U77)&gt;=2,"Check",""))</f>
        <v/>
      </c>
    </row>
    <row r="78" customFormat="false" ht="15" hidden="false" customHeight="false" outlineLevel="0" collapsed="false">
      <c r="A78" s="9"/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1" t="str">
        <f aca="false">IF(COUNTA(A78,D78:S78)=0,"",SUMPRODUCT(--(D78:S78=D$2:S$2)))</f>
        <v/>
      </c>
      <c r="AB78" s="11" t="str">
        <f aca="false">IF(COUNTA(A78,D78:S78)=0,"",SUMPRODUCT((D78:S78=D$2:S$2)*D$3:S$3))</f>
        <v/>
      </c>
      <c r="AC78" s="11" t="str">
        <f aca="false">IF(COUNTA(A78,D78:S78)=0,"",AA78-AB78)</f>
        <v/>
      </c>
      <c r="AD78" s="12" t="str">
        <f aca="false">IF(COUNT(T78:U78)=0,"",AVERAGE(T78:U78))</f>
        <v/>
      </c>
      <c r="AE78" s="12" t="str">
        <f aca="false">IF(COUNT(V78:Z78)=0,"",AVERAGE(V78:Z78))</f>
        <v/>
      </c>
      <c r="AF78" s="11" t="str">
        <f aca="false">IF(COUNT(T78:U78)&lt;2,"",IF(ABS(T78-U78)&gt;=2,"Check",""))</f>
        <v/>
      </c>
    </row>
    <row r="79" customFormat="false" ht="15" hidden="false" customHeight="false" outlineLevel="0" collapsed="false">
      <c r="A79" s="9"/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1" t="str">
        <f aca="false">IF(COUNTA(A79,D79:S79)=0,"",SUMPRODUCT(--(D79:S79=D$2:S$2)))</f>
        <v/>
      </c>
      <c r="AB79" s="11" t="str">
        <f aca="false">IF(COUNTA(A79,D79:S79)=0,"",SUMPRODUCT((D79:S79=D$2:S$2)*D$3:S$3))</f>
        <v/>
      </c>
      <c r="AC79" s="11" t="str">
        <f aca="false">IF(COUNTA(A79,D79:S79)=0,"",AA79-AB79)</f>
        <v/>
      </c>
      <c r="AD79" s="12" t="str">
        <f aca="false">IF(COUNT(T79:U79)=0,"",AVERAGE(T79:U79))</f>
        <v/>
      </c>
      <c r="AE79" s="12" t="str">
        <f aca="false">IF(COUNT(V79:Z79)=0,"",AVERAGE(V79:Z79))</f>
        <v/>
      </c>
      <c r="AF79" s="11" t="str">
        <f aca="false">IF(COUNT(T79:U79)&lt;2,"",IF(ABS(T79-U79)&gt;=2,"Check",""))</f>
        <v/>
      </c>
    </row>
    <row r="80" customFormat="false" ht="15" hidden="false" customHeight="false" outlineLevel="0" collapsed="false">
      <c r="A80" s="9"/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1" t="str">
        <f aca="false">IF(COUNTA(A80,D80:S80)=0,"",SUMPRODUCT(--(D80:S80=D$2:S$2)))</f>
        <v/>
      </c>
      <c r="AB80" s="11" t="str">
        <f aca="false">IF(COUNTA(A80,D80:S80)=0,"",SUMPRODUCT((D80:S80=D$2:S$2)*D$3:S$3))</f>
        <v/>
      </c>
      <c r="AC80" s="11" t="str">
        <f aca="false">IF(COUNTA(A80,D80:S80)=0,"",AA80-AB80)</f>
        <v/>
      </c>
      <c r="AD80" s="12" t="str">
        <f aca="false">IF(COUNT(T80:U80)=0,"",AVERAGE(T80:U80))</f>
        <v/>
      </c>
      <c r="AE80" s="12" t="str">
        <f aca="false">IF(COUNT(V80:Z80)=0,"",AVERAGE(V80:Z80))</f>
        <v/>
      </c>
      <c r="AF80" s="11" t="str">
        <f aca="false">IF(COUNT(T80:U80)&lt;2,"",IF(ABS(T80-U80)&gt;=2,"Check",""))</f>
        <v/>
      </c>
    </row>
    <row r="81" customFormat="false" ht="15" hidden="false" customHeight="false" outlineLevel="0" collapsed="false">
      <c r="A81" s="9"/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1" t="str">
        <f aca="false">IF(COUNTA(A81,D81:S81)=0,"",SUMPRODUCT(--(D81:S81=D$2:S$2)))</f>
        <v/>
      </c>
      <c r="AB81" s="11" t="str">
        <f aca="false">IF(COUNTA(A81,D81:S81)=0,"",SUMPRODUCT((D81:S81=D$2:S$2)*D$3:S$3))</f>
        <v/>
      </c>
      <c r="AC81" s="11" t="str">
        <f aca="false">IF(COUNTA(A81,D81:S81)=0,"",AA81-AB81)</f>
        <v/>
      </c>
      <c r="AD81" s="12" t="str">
        <f aca="false">IF(COUNT(T81:U81)=0,"",AVERAGE(T81:U81))</f>
        <v/>
      </c>
      <c r="AE81" s="12" t="str">
        <f aca="false">IF(COUNT(V81:Z81)=0,"",AVERAGE(V81:Z81))</f>
        <v/>
      </c>
      <c r="AF81" s="11" t="str">
        <f aca="false">IF(COUNT(T81:U81)&lt;2,"",IF(ABS(T81-U81)&gt;=2,"Check",""))</f>
        <v/>
      </c>
    </row>
    <row r="82" customFormat="false" ht="15" hidden="false" customHeight="false" outlineLevel="0" collapsed="false">
      <c r="A82" s="9"/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1" t="str">
        <f aca="false">IF(COUNTA(A82,D82:S82)=0,"",SUMPRODUCT(--(D82:S82=D$2:S$2)))</f>
        <v/>
      </c>
      <c r="AB82" s="11" t="str">
        <f aca="false">IF(COUNTA(A82,D82:S82)=0,"",SUMPRODUCT((D82:S82=D$2:S$2)*D$3:S$3))</f>
        <v/>
      </c>
      <c r="AC82" s="11" t="str">
        <f aca="false">IF(COUNTA(A82,D82:S82)=0,"",AA82-AB82)</f>
        <v/>
      </c>
      <c r="AD82" s="12" t="str">
        <f aca="false">IF(COUNT(T82:U82)=0,"",AVERAGE(T82:U82))</f>
        <v/>
      </c>
      <c r="AE82" s="12" t="str">
        <f aca="false">IF(COUNT(V82:Z82)=0,"",AVERAGE(V82:Z82))</f>
        <v/>
      </c>
      <c r="AF82" s="11" t="str">
        <f aca="false">IF(COUNT(T82:U82)&lt;2,"",IF(ABS(T82-U82)&gt;=2,"Check",""))</f>
        <v/>
      </c>
    </row>
    <row r="83" customFormat="false" ht="15" hidden="false" customHeight="false" outlineLevel="0" collapsed="false">
      <c r="A83" s="9"/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1" t="str">
        <f aca="false">IF(COUNTA(A83,D83:S83)=0,"",SUMPRODUCT(--(D83:S83=D$2:S$2)))</f>
        <v/>
      </c>
      <c r="AB83" s="11" t="str">
        <f aca="false">IF(COUNTA(A83,D83:S83)=0,"",SUMPRODUCT((D83:S83=D$2:S$2)*D$3:S$3))</f>
        <v/>
      </c>
      <c r="AC83" s="11" t="str">
        <f aca="false">IF(COUNTA(A83,D83:S83)=0,"",AA83-AB83)</f>
        <v/>
      </c>
      <c r="AD83" s="12" t="str">
        <f aca="false">IF(COUNT(T83:U83)=0,"",AVERAGE(T83:U83))</f>
        <v/>
      </c>
      <c r="AE83" s="12" t="str">
        <f aca="false">IF(COUNT(V83:Z83)=0,"",AVERAGE(V83:Z83))</f>
        <v/>
      </c>
      <c r="AF83" s="11" t="str">
        <f aca="false">IF(COUNT(T83:U83)&lt;2,"",IF(ABS(T83-U83)&gt;=2,"Check",""))</f>
        <v/>
      </c>
    </row>
    <row r="84" customFormat="false" ht="15" hidden="false" customHeight="false" outlineLevel="0" collapsed="false">
      <c r="A84" s="9"/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1" t="str">
        <f aca="false">IF(COUNTA(A84,D84:S84)=0,"",SUMPRODUCT(--(D84:S84=D$2:S$2)))</f>
        <v/>
      </c>
      <c r="AB84" s="11" t="str">
        <f aca="false">IF(COUNTA(A84,D84:S84)=0,"",SUMPRODUCT((D84:S84=D$2:S$2)*D$3:S$3))</f>
        <v/>
      </c>
      <c r="AC84" s="11" t="str">
        <f aca="false">IF(COUNTA(A84,D84:S84)=0,"",AA84-AB84)</f>
        <v/>
      </c>
      <c r="AD84" s="12" t="str">
        <f aca="false">IF(COUNT(T84:U84)=0,"",AVERAGE(T84:U84))</f>
        <v/>
      </c>
      <c r="AE84" s="12" t="str">
        <f aca="false">IF(COUNT(V84:Z84)=0,"",AVERAGE(V84:Z84))</f>
        <v/>
      </c>
      <c r="AF84" s="11" t="str">
        <f aca="false">IF(COUNT(T84:U84)&lt;2,"",IF(ABS(T84-U84)&gt;=2,"Check",""))</f>
        <v/>
      </c>
    </row>
    <row r="85" customFormat="false" ht="15" hidden="false" customHeight="false" outlineLevel="0" collapsed="false">
      <c r="A85" s="9"/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1" t="str">
        <f aca="false">IF(COUNTA(A85,D85:S85)=0,"",SUMPRODUCT(--(D85:S85=D$2:S$2)))</f>
        <v/>
      </c>
      <c r="AB85" s="11" t="str">
        <f aca="false">IF(COUNTA(A85,D85:S85)=0,"",SUMPRODUCT((D85:S85=D$2:S$2)*D$3:S$3))</f>
        <v/>
      </c>
      <c r="AC85" s="11" t="str">
        <f aca="false">IF(COUNTA(A85,D85:S85)=0,"",AA85-AB85)</f>
        <v/>
      </c>
      <c r="AD85" s="12" t="str">
        <f aca="false">IF(COUNT(T85:U85)=0,"",AVERAGE(T85:U85))</f>
        <v/>
      </c>
      <c r="AE85" s="12" t="str">
        <f aca="false">IF(COUNT(V85:Z85)=0,"",AVERAGE(V85:Z85))</f>
        <v/>
      </c>
      <c r="AF85" s="11" t="str">
        <f aca="false">IF(COUNT(T85:U85)&lt;2,"",IF(ABS(T85-U85)&gt;=2,"Check",""))</f>
        <v/>
      </c>
    </row>
    <row r="86" customFormat="false" ht="15" hidden="false" customHeight="false" outlineLevel="0" collapsed="false">
      <c r="A86" s="9"/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1" t="str">
        <f aca="false">IF(COUNTA(A86,D86:S86)=0,"",SUMPRODUCT(--(D86:S86=D$2:S$2)))</f>
        <v/>
      </c>
      <c r="AB86" s="11" t="str">
        <f aca="false">IF(COUNTA(A86,D86:S86)=0,"",SUMPRODUCT((D86:S86=D$2:S$2)*D$3:S$3))</f>
        <v/>
      </c>
      <c r="AC86" s="11" t="str">
        <f aca="false">IF(COUNTA(A86,D86:S86)=0,"",AA86-AB86)</f>
        <v/>
      </c>
      <c r="AD86" s="12" t="str">
        <f aca="false">IF(COUNT(T86:U86)=0,"",AVERAGE(T86:U86))</f>
        <v/>
      </c>
      <c r="AE86" s="12" t="str">
        <f aca="false">IF(COUNT(V86:Z86)=0,"",AVERAGE(V86:Z86))</f>
        <v/>
      </c>
      <c r="AF86" s="11" t="str">
        <f aca="false">IF(COUNT(T86:U86)&lt;2,"",IF(ABS(T86-U86)&gt;=2,"Check",""))</f>
        <v/>
      </c>
    </row>
    <row r="87" customFormat="false" ht="15" hidden="false" customHeight="false" outlineLevel="0" collapsed="false">
      <c r="A87" s="9"/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1" t="str">
        <f aca="false">IF(COUNTA(A87,D87:S87)=0,"",SUMPRODUCT(--(D87:S87=D$2:S$2)))</f>
        <v/>
      </c>
      <c r="AB87" s="11" t="str">
        <f aca="false">IF(COUNTA(A87,D87:S87)=0,"",SUMPRODUCT((D87:S87=D$2:S$2)*D$3:S$3))</f>
        <v/>
      </c>
      <c r="AC87" s="11" t="str">
        <f aca="false">IF(COUNTA(A87,D87:S87)=0,"",AA87-AB87)</f>
        <v/>
      </c>
      <c r="AD87" s="12" t="str">
        <f aca="false">IF(COUNT(T87:U87)=0,"",AVERAGE(T87:U87))</f>
        <v/>
      </c>
      <c r="AE87" s="12" t="str">
        <f aca="false">IF(COUNT(V87:Z87)=0,"",AVERAGE(V87:Z87))</f>
        <v/>
      </c>
      <c r="AF87" s="11" t="str">
        <f aca="false">IF(COUNT(T87:U87)&lt;2,"",IF(ABS(T87-U87)&gt;=2,"Check",""))</f>
        <v/>
      </c>
    </row>
    <row r="88" customFormat="false" ht="15" hidden="false" customHeight="false" outlineLevel="0" collapsed="false">
      <c r="A88" s="9"/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1" t="str">
        <f aca="false">IF(COUNTA(A88,D88:S88)=0,"",SUMPRODUCT(--(D88:S88=D$2:S$2)))</f>
        <v/>
      </c>
      <c r="AB88" s="11" t="str">
        <f aca="false">IF(COUNTA(A88,D88:S88)=0,"",SUMPRODUCT((D88:S88=D$2:S$2)*D$3:S$3))</f>
        <v/>
      </c>
      <c r="AC88" s="11" t="str">
        <f aca="false">IF(COUNTA(A88,D88:S88)=0,"",AA88-AB88)</f>
        <v/>
      </c>
      <c r="AD88" s="12" t="str">
        <f aca="false">IF(COUNT(T88:U88)=0,"",AVERAGE(T88:U88))</f>
        <v/>
      </c>
      <c r="AE88" s="12" t="str">
        <f aca="false">IF(COUNT(V88:Z88)=0,"",AVERAGE(V88:Z88))</f>
        <v/>
      </c>
      <c r="AF88" s="11" t="str">
        <f aca="false">IF(COUNT(T88:U88)&lt;2,"",IF(ABS(T88-U88)&gt;=2,"Check",""))</f>
        <v/>
      </c>
    </row>
    <row r="89" customFormat="false" ht="15" hidden="false" customHeight="false" outlineLevel="0" collapsed="false">
      <c r="A89" s="9"/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1" t="str">
        <f aca="false">IF(COUNTA(A89,D89:S89)=0,"",SUMPRODUCT(--(D89:S89=D$2:S$2)))</f>
        <v/>
      </c>
      <c r="AB89" s="11" t="str">
        <f aca="false">IF(COUNTA(A89,D89:S89)=0,"",SUMPRODUCT((D89:S89=D$2:S$2)*D$3:S$3))</f>
        <v/>
      </c>
      <c r="AC89" s="11" t="str">
        <f aca="false">IF(COUNTA(A89,D89:S89)=0,"",AA89-AB89)</f>
        <v/>
      </c>
      <c r="AD89" s="12" t="str">
        <f aca="false">IF(COUNT(T89:U89)=0,"",AVERAGE(T89:U89))</f>
        <v/>
      </c>
      <c r="AE89" s="12" t="str">
        <f aca="false">IF(COUNT(V89:Z89)=0,"",AVERAGE(V89:Z89))</f>
        <v/>
      </c>
      <c r="AF89" s="11" t="str">
        <f aca="false">IF(COUNT(T89:U89)&lt;2,"",IF(ABS(T89-U89)&gt;=2,"Check",""))</f>
        <v/>
      </c>
    </row>
    <row r="90" customFormat="false" ht="15" hidden="false" customHeight="false" outlineLevel="0" collapsed="false">
      <c r="A90" s="9"/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1" t="str">
        <f aca="false">IF(COUNTA(A90,D90:S90)=0,"",SUMPRODUCT(--(D90:S90=D$2:S$2)))</f>
        <v/>
      </c>
      <c r="AB90" s="11" t="str">
        <f aca="false">IF(COUNTA(A90,D90:S90)=0,"",SUMPRODUCT((D90:S90=D$2:S$2)*D$3:S$3))</f>
        <v/>
      </c>
      <c r="AC90" s="11" t="str">
        <f aca="false">IF(COUNTA(A90,D90:S90)=0,"",AA90-AB90)</f>
        <v/>
      </c>
      <c r="AD90" s="12" t="str">
        <f aca="false">IF(COUNT(T90:U90)=0,"",AVERAGE(T90:U90))</f>
        <v/>
      </c>
      <c r="AE90" s="12" t="str">
        <f aca="false">IF(COUNT(V90:Z90)=0,"",AVERAGE(V90:Z90))</f>
        <v/>
      </c>
      <c r="AF90" s="11" t="str">
        <f aca="false">IF(COUNT(T90:U90)&lt;2,"",IF(ABS(T90-U90)&gt;=2,"Check",""))</f>
        <v/>
      </c>
    </row>
    <row r="91" customFormat="false" ht="15" hidden="false" customHeight="false" outlineLevel="0" collapsed="false">
      <c r="A91" s="9"/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1" t="str">
        <f aca="false">IF(COUNTA(A91,D91:S91)=0,"",SUMPRODUCT(--(D91:S91=D$2:S$2)))</f>
        <v/>
      </c>
      <c r="AB91" s="11" t="str">
        <f aca="false">IF(COUNTA(A91,D91:S91)=0,"",SUMPRODUCT((D91:S91=D$2:S$2)*D$3:S$3))</f>
        <v/>
      </c>
      <c r="AC91" s="11" t="str">
        <f aca="false">IF(COUNTA(A91,D91:S91)=0,"",AA91-AB91)</f>
        <v/>
      </c>
      <c r="AD91" s="12" t="str">
        <f aca="false">IF(COUNT(T91:U91)=0,"",AVERAGE(T91:U91))</f>
        <v/>
      </c>
      <c r="AE91" s="12" t="str">
        <f aca="false">IF(COUNT(V91:Z91)=0,"",AVERAGE(V91:Z91))</f>
        <v/>
      </c>
      <c r="AF91" s="11" t="str">
        <f aca="false">IF(COUNT(T91:U91)&lt;2,"",IF(ABS(T91-U91)&gt;=2,"Check",""))</f>
        <v/>
      </c>
    </row>
    <row r="92" customFormat="false" ht="15" hidden="false" customHeight="false" outlineLevel="0" collapsed="false">
      <c r="A92" s="9"/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1" t="str">
        <f aca="false">IF(COUNTA(A92,D92:S92)=0,"",SUMPRODUCT(--(D92:S92=D$2:S$2)))</f>
        <v/>
      </c>
      <c r="AB92" s="11" t="str">
        <f aca="false">IF(COUNTA(A92,D92:S92)=0,"",SUMPRODUCT((D92:S92=D$2:S$2)*D$3:S$3))</f>
        <v/>
      </c>
      <c r="AC92" s="11" t="str">
        <f aca="false">IF(COUNTA(A92,D92:S92)=0,"",AA92-AB92)</f>
        <v/>
      </c>
      <c r="AD92" s="12" t="str">
        <f aca="false">IF(COUNT(T92:U92)=0,"",AVERAGE(T92:U92))</f>
        <v/>
      </c>
      <c r="AE92" s="12" t="str">
        <f aca="false">IF(COUNT(V92:Z92)=0,"",AVERAGE(V92:Z92))</f>
        <v/>
      </c>
      <c r="AF92" s="11" t="str">
        <f aca="false">IF(COUNT(T92:U92)&lt;2,"",IF(ABS(T92-U92)&gt;=2,"Check",""))</f>
        <v/>
      </c>
    </row>
    <row r="93" customFormat="false" ht="15" hidden="false" customHeight="false" outlineLevel="0" collapsed="false">
      <c r="A93" s="9"/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1" t="str">
        <f aca="false">IF(COUNTA(A93,D93:S93)=0,"",SUMPRODUCT(--(D93:S93=D$2:S$2)))</f>
        <v/>
      </c>
      <c r="AB93" s="11" t="str">
        <f aca="false">IF(COUNTA(A93,D93:S93)=0,"",SUMPRODUCT((D93:S93=D$2:S$2)*D$3:S$3))</f>
        <v/>
      </c>
      <c r="AC93" s="11" t="str">
        <f aca="false">IF(COUNTA(A93,D93:S93)=0,"",AA93-AB93)</f>
        <v/>
      </c>
      <c r="AD93" s="12" t="str">
        <f aca="false">IF(COUNT(T93:U93)=0,"",AVERAGE(T93:U93))</f>
        <v/>
      </c>
      <c r="AE93" s="12" t="str">
        <f aca="false">IF(COUNT(V93:Z93)=0,"",AVERAGE(V93:Z93))</f>
        <v/>
      </c>
      <c r="AF93" s="11" t="str">
        <f aca="false">IF(COUNT(T93:U93)&lt;2,"",IF(ABS(T93-U93)&gt;=2,"Check",""))</f>
        <v/>
      </c>
    </row>
    <row r="94" customFormat="false" ht="15" hidden="false" customHeight="false" outlineLevel="0" collapsed="false">
      <c r="A94" s="9"/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1" t="str">
        <f aca="false">IF(COUNTA(A94,D94:S94)=0,"",SUMPRODUCT(--(D94:S94=D$2:S$2)))</f>
        <v/>
      </c>
      <c r="AB94" s="11" t="str">
        <f aca="false">IF(COUNTA(A94,D94:S94)=0,"",SUMPRODUCT((D94:S94=D$2:S$2)*D$3:S$3))</f>
        <v/>
      </c>
      <c r="AC94" s="11" t="str">
        <f aca="false">IF(COUNTA(A94,D94:S94)=0,"",AA94-AB94)</f>
        <v/>
      </c>
      <c r="AD94" s="12" t="str">
        <f aca="false">IF(COUNT(T94:U94)=0,"",AVERAGE(T94:U94))</f>
        <v/>
      </c>
      <c r="AE94" s="12" t="str">
        <f aca="false">IF(COUNT(V94:Z94)=0,"",AVERAGE(V94:Z94))</f>
        <v/>
      </c>
      <c r="AF94" s="11" t="str">
        <f aca="false">IF(COUNT(T94:U94)&lt;2,"",IF(ABS(T94-U94)&gt;=2,"Check",""))</f>
        <v/>
      </c>
    </row>
    <row r="95" customFormat="false" ht="15" hidden="false" customHeight="false" outlineLevel="0" collapsed="false">
      <c r="A95" s="9"/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1" t="str">
        <f aca="false">IF(COUNTA(A95,D95:S95)=0,"",SUMPRODUCT(--(D95:S95=D$2:S$2)))</f>
        <v/>
      </c>
      <c r="AB95" s="11" t="str">
        <f aca="false">IF(COUNTA(A95,D95:S95)=0,"",SUMPRODUCT((D95:S95=D$2:S$2)*D$3:S$3))</f>
        <v/>
      </c>
      <c r="AC95" s="11" t="str">
        <f aca="false">IF(COUNTA(A95,D95:S95)=0,"",AA95-AB95)</f>
        <v/>
      </c>
      <c r="AD95" s="12" t="str">
        <f aca="false">IF(COUNT(T95:U95)=0,"",AVERAGE(T95:U95))</f>
        <v/>
      </c>
      <c r="AE95" s="12" t="str">
        <f aca="false">IF(COUNT(V95:Z95)=0,"",AVERAGE(V95:Z95))</f>
        <v/>
      </c>
      <c r="AF95" s="11" t="str">
        <f aca="false">IF(COUNT(T95:U95)&lt;2,"",IF(ABS(T95-U95)&gt;=2,"Check",""))</f>
        <v/>
      </c>
    </row>
    <row r="96" customFormat="false" ht="15" hidden="false" customHeight="false" outlineLevel="0" collapsed="false">
      <c r="A96" s="9"/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1" t="str">
        <f aca="false">IF(COUNTA(A96,D96:S96)=0,"",SUMPRODUCT(--(D96:S96=D$2:S$2)))</f>
        <v/>
      </c>
      <c r="AB96" s="11" t="str">
        <f aca="false">IF(COUNTA(A96,D96:S96)=0,"",SUMPRODUCT((D96:S96=D$2:S$2)*D$3:S$3))</f>
        <v/>
      </c>
      <c r="AC96" s="11" t="str">
        <f aca="false">IF(COUNTA(A96,D96:S96)=0,"",AA96-AB96)</f>
        <v/>
      </c>
      <c r="AD96" s="12" t="str">
        <f aca="false">IF(COUNT(T96:U96)=0,"",AVERAGE(T96:U96))</f>
        <v/>
      </c>
      <c r="AE96" s="12" t="str">
        <f aca="false">IF(COUNT(V96:Z96)=0,"",AVERAGE(V96:Z96))</f>
        <v/>
      </c>
      <c r="AF96" s="11" t="str">
        <f aca="false">IF(COUNT(T96:U96)&lt;2,"",IF(ABS(T96-U96)&gt;=2,"Check",""))</f>
        <v/>
      </c>
    </row>
    <row r="97" customFormat="false" ht="15" hidden="false" customHeight="false" outlineLevel="0" collapsed="false">
      <c r="A97" s="9"/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1" t="str">
        <f aca="false">IF(COUNTA(A97,D97:S97)=0,"",SUMPRODUCT(--(D97:S97=D$2:S$2)))</f>
        <v/>
      </c>
      <c r="AB97" s="11" t="str">
        <f aca="false">IF(COUNTA(A97,D97:S97)=0,"",SUMPRODUCT((D97:S97=D$2:S$2)*D$3:S$3))</f>
        <v/>
      </c>
      <c r="AC97" s="11" t="str">
        <f aca="false">IF(COUNTA(A97,D97:S97)=0,"",AA97-AB97)</f>
        <v/>
      </c>
      <c r="AD97" s="12" t="str">
        <f aca="false">IF(COUNT(T97:U97)=0,"",AVERAGE(T97:U97))</f>
        <v/>
      </c>
      <c r="AE97" s="12" t="str">
        <f aca="false">IF(COUNT(V97:Z97)=0,"",AVERAGE(V97:Z97))</f>
        <v/>
      </c>
      <c r="AF97" s="11" t="str">
        <f aca="false">IF(COUNT(T97:U97)&lt;2,"",IF(ABS(T97-U97)&gt;=2,"Check",""))</f>
        <v/>
      </c>
    </row>
    <row r="98" customFormat="false" ht="15" hidden="false" customHeight="false" outlineLevel="0" collapsed="false">
      <c r="A98" s="9"/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1" t="str">
        <f aca="false">IF(COUNTA(A98,D98:S98)=0,"",SUMPRODUCT(--(D98:S98=D$2:S$2)))</f>
        <v/>
      </c>
      <c r="AB98" s="11" t="str">
        <f aca="false">IF(COUNTA(A98,D98:S98)=0,"",SUMPRODUCT((D98:S98=D$2:S$2)*D$3:S$3))</f>
        <v/>
      </c>
      <c r="AC98" s="11" t="str">
        <f aca="false">IF(COUNTA(A98,D98:S98)=0,"",AA98-AB98)</f>
        <v/>
      </c>
      <c r="AD98" s="12" t="str">
        <f aca="false">IF(COUNT(T98:U98)=0,"",AVERAGE(T98:U98))</f>
        <v/>
      </c>
      <c r="AE98" s="12" t="str">
        <f aca="false">IF(COUNT(V98:Z98)=0,"",AVERAGE(V98:Z98))</f>
        <v/>
      </c>
      <c r="AF98" s="11" t="str">
        <f aca="false">IF(COUNT(T98:U98)&lt;2,"",IF(ABS(T98-U98)&gt;=2,"Check",""))</f>
        <v/>
      </c>
    </row>
    <row r="99" customFormat="false" ht="15" hidden="false" customHeight="false" outlineLevel="0" collapsed="false">
      <c r="A99" s="9"/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1" t="str">
        <f aca="false">IF(COUNTA(A99,D99:S99)=0,"",SUMPRODUCT(--(D99:S99=D$2:S$2)))</f>
        <v/>
      </c>
      <c r="AB99" s="11" t="str">
        <f aca="false">IF(COUNTA(A99,D99:S99)=0,"",SUMPRODUCT((D99:S99=D$2:S$2)*D$3:S$3))</f>
        <v/>
      </c>
      <c r="AC99" s="11" t="str">
        <f aca="false">IF(COUNTA(A99,D99:S99)=0,"",AA99-AB99)</f>
        <v/>
      </c>
      <c r="AD99" s="12" t="str">
        <f aca="false">IF(COUNT(T99:U99)=0,"",AVERAGE(T99:U99))</f>
        <v/>
      </c>
      <c r="AE99" s="12" t="str">
        <f aca="false">IF(COUNT(V99:Z99)=0,"",AVERAGE(V99:Z99))</f>
        <v/>
      </c>
      <c r="AF99" s="11" t="str">
        <f aca="false">IF(COUNT(T99:U99)&lt;2,"",IF(ABS(T99-U99)&gt;=2,"Check",""))</f>
        <v/>
      </c>
    </row>
    <row r="100" customFormat="false" ht="15" hidden="false" customHeight="false" outlineLevel="0" collapsed="false">
      <c r="A100" s="9"/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1" t="str">
        <f aca="false">IF(COUNTA(A100,D100:S100)=0,"",SUMPRODUCT(--(D100:S100=D$2:S$2)))</f>
        <v/>
      </c>
      <c r="AB100" s="11" t="str">
        <f aca="false">IF(COUNTA(A100,D100:S100)=0,"",SUMPRODUCT((D100:S100=D$2:S$2)*D$3:S$3))</f>
        <v/>
      </c>
      <c r="AC100" s="11" t="str">
        <f aca="false">IF(COUNTA(A100,D100:S100)=0,"",AA100-AB100)</f>
        <v/>
      </c>
      <c r="AD100" s="12" t="str">
        <f aca="false">IF(COUNT(T100:U100)=0,"",AVERAGE(T100:U100))</f>
        <v/>
      </c>
      <c r="AE100" s="12" t="str">
        <f aca="false">IF(COUNT(V100:Z100)=0,"",AVERAGE(V100:Z100))</f>
        <v/>
      </c>
      <c r="AF100" s="11" t="str">
        <f aca="false">IF(COUNT(T100:U100)&lt;2,"",IF(ABS(T100-U100)&gt;=2,"Check",""))</f>
        <v/>
      </c>
    </row>
    <row r="101" customFormat="false" ht="15" hidden="false" customHeight="false" outlineLevel="0" collapsed="false">
      <c r="A101" s="9"/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1" t="str">
        <f aca="false">IF(COUNTA(A101,D101:S101)=0,"",SUMPRODUCT(--(D101:S101=D$2:S$2)))</f>
        <v/>
      </c>
      <c r="AB101" s="11" t="str">
        <f aca="false">IF(COUNTA(A101,D101:S101)=0,"",SUMPRODUCT((D101:S101=D$2:S$2)*D$3:S$3))</f>
        <v/>
      </c>
      <c r="AC101" s="11" t="str">
        <f aca="false">IF(COUNTA(A101,D101:S101)=0,"",AA101-AB101)</f>
        <v/>
      </c>
      <c r="AD101" s="12" t="str">
        <f aca="false">IF(COUNT(T101:U101)=0,"",AVERAGE(T101:U101))</f>
        <v/>
      </c>
      <c r="AE101" s="12" t="str">
        <f aca="false">IF(COUNT(V101:Z101)=0,"",AVERAGE(V101:Z101))</f>
        <v/>
      </c>
      <c r="AF101" s="11" t="str">
        <f aca="false">IF(COUNT(T101:U101)&lt;2,"",IF(ABS(T101-U101)&gt;=2,"Check",""))</f>
        <v/>
      </c>
    </row>
    <row r="102" customFormat="false" ht="15" hidden="false" customHeight="false" outlineLevel="0" collapsed="false">
      <c r="A102" s="9"/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1" t="str">
        <f aca="false">IF(COUNTA(A102,D102:S102)=0,"",SUMPRODUCT(--(D102:S102=D$2:S$2)))</f>
        <v/>
      </c>
      <c r="AB102" s="11" t="str">
        <f aca="false">IF(COUNTA(A102,D102:S102)=0,"",SUMPRODUCT((D102:S102=D$2:S$2)*D$3:S$3))</f>
        <v/>
      </c>
      <c r="AC102" s="11" t="str">
        <f aca="false">IF(COUNTA(A102,D102:S102)=0,"",AA102-AB102)</f>
        <v/>
      </c>
      <c r="AD102" s="12" t="str">
        <f aca="false">IF(COUNT(T102:U102)=0,"",AVERAGE(T102:U102))</f>
        <v/>
      </c>
      <c r="AE102" s="12" t="str">
        <f aca="false">IF(COUNT(V102:Z102)=0,"",AVERAGE(V102:Z102))</f>
        <v/>
      </c>
      <c r="AF102" s="11" t="str">
        <f aca="false">IF(COUNT(T102:U102)&lt;2,"",IF(ABS(T102-U102)&gt;=2,"Check",""))</f>
        <v/>
      </c>
    </row>
    <row r="103" customFormat="false" ht="15" hidden="false" customHeight="false" outlineLevel="0" collapsed="false">
      <c r="A103" s="9"/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1" t="str">
        <f aca="false">IF(COUNTA(A103,D103:S103)=0,"",SUMPRODUCT(--(D103:S103=D$2:S$2)))</f>
        <v/>
      </c>
      <c r="AB103" s="11" t="str">
        <f aca="false">IF(COUNTA(A103,D103:S103)=0,"",SUMPRODUCT((D103:S103=D$2:S$2)*D$3:S$3))</f>
        <v/>
      </c>
      <c r="AC103" s="11" t="str">
        <f aca="false">IF(COUNTA(A103,D103:S103)=0,"",AA103-AB103)</f>
        <v/>
      </c>
      <c r="AD103" s="12" t="str">
        <f aca="false">IF(COUNT(T103:U103)=0,"",AVERAGE(T103:U103))</f>
        <v/>
      </c>
      <c r="AE103" s="12" t="str">
        <f aca="false">IF(COUNT(V103:Z103)=0,"",AVERAGE(V103:Z103))</f>
        <v/>
      </c>
      <c r="AF103" s="11" t="str">
        <f aca="false">IF(COUNT(T103:U103)&lt;2,"",IF(ABS(T103-U103)&gt;=2,"Check",""))</f>
        <v/>
      </c>
    </row>
    <row r="104" customFormat="false" ht="15" hidden="false" customHeight="false" outlineLevel="0" collapsed="false">
      <c r="A104" s="9"/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1" t="str">
        <f aca="false">IF(COUNTA(A104,D104:S104)=0,"",SUMPRODUCT(--(D104:S104=D$2:S$2)))</f>
        <v/>
      </c>
      <c r="AB104" s="11" t="str">
        <f aca="false">IF(COUNTA(A104,D104:S104)=0,"",SUMPRODUCT((D104:S104=D$2:S$2)*D$3:S$3))</f>
        <v/>
      </c>
      <c r="AC104" s="11" t="str">
        <f aca="false">IF(COUNTA(A104,D104:S104)=0,"",AA104-AB104)</f>
        <v/>
      </c>
      <c r="AD104" s="12" t="str">
        <f aca="false">IF(COUNT(T104:U104)=0,"",AVERAGE(T104:U104))</f>
        <v/>
      </c>
      <c r="AE104" s="12" t="str">
        <f aca="false">IF(COUNT(V104:Z104)=0,"",AVERAGE(V104:Z104))</f>
        <v/>
      </c>
      <c r="AF104" s="11" t="str">
        <f aca="false">IF(COUNT(T104:U104)&lt;2,"",IF(ABS(T104-U104)&gt;=2,"Check",""))</f>
        <v/>
      </c>
    </row>
    <row r="105" customFormat="false" ht="15" hidden="false" customHeight="false" outlineLevel="0" collapsed="false">
      <c r="A105" s="9"/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1" t="str">
        <f aca="false">IF(COUNTA(A105,D105:S105)=0,"",SUMPRODUCT(--(D105:S105=D$2:S$2)))</f>
        <v/>
      </c>
      <c r="AB105" s="11" t="str">
        <f aca="false">IF(COUNTA(A105,D105:S105)=0,"",SUMPRODUCT((D105:S105=D$2:S$2)*D$3:S$3))</f>
        <v/>
      </c>
      <c r="AC105" s="11" t="str">
        <f aca="false">IF(COUNTA(A105,D105:S105)=0,"",AA105-AB105)</f>
        <v/>
      </c>
      <c r="AD105" s="12" t="str">
        <f aca="false">IF(COUNT(T105:U105)=0,"",AVERAGE(T105:U105))</f>
        <v/>
      </c>
      <c r="AE105" s="12" t="str">
        <f aca="false">IF(COUNT(V105:Z105)=0,"",AVERAGE(V105:Z105))</f>
        <v/>
      </c>
      <c r="AF105" s="11" t="str">
        <f aca="false">IF(COUNT(T105:U105)&lt;2,"",IF(ABS(T105-U105)&gt;=2,"Check",""))</f>
        <v/>
      </c>
    </row>
    <row r="106" customFormat="false" ht="15" hidden="false" customHeight="false" outlineLevel="0" collapsed="false">
      <c r="A106" s="9"/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1" t="str">
        <f aca="false">IF(COUNTA(A106,D106:S106)=0,"",SUMPRODUCT(--(D106:S106=D$2:S$2)))</f>
        <v/>
      </c>
      <c r="AB106" s="11" t="str">
        <f aca="false">IF(COUNTA(A106,D106:S106)=0,"",SUMPRODUCT((D106:S106=D$2:S$2)*D$3:S$3))</f>
        <v/>
      </c>
      <c r="AC106" s="11" t="str">
        <f aca="false">IF(COUNTA(A106,D106:S106)=0,"",AA106-AB106)</f>
        <v/>
      </c>
      <c r="AD106" s="12" t="str">
        <f aca="false">IF(COUNT(T106:U106)=0,"",AVERAGE(T106:U106))</f>
        <v/>
      </c>
      <c r="AE106" s="12" t="str">
        <f aca="false">IF(COUNT(V106:Z106)=0,"",AVERAGE(V106:Z106))</f>
        <v/>
      </c>
      <c r="AF106" s="11" t="str">
        <f aca="false">IF(COUNT(T106:U106)&lt;2,"",IF(ABS(T106-U106)&gt;=2,"Check",""))</f>
        <v/>
      </c>
    </row>
    <row r="107" customFormat="false" ht="15" hidden="false" customHeight="false" outlineLevel="0" collapsed="false">
      <c r="A107" s="9"/>
      <c r="B107" s="9"/>
      <c r="C107" s="9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1" t="str">
        <f aca="false">IF(COUNTA(A107,D107:S107)=0,"",SUMPRODUCT(--(D107:S107=D$2:S$2)))</f>
        <v/>
      </c>
      <c r="AB107" s="11" t="str">
        <f aca="false">IF(COUNTA(A107,D107:S107)=0,"",SUMPRODUCT((D107:S107=D$2:S$2)*D$3:S$3))</f>
        <v/>
      </c>
      <c r="AC107" s="11" t="str">
        <f aca="false">IF(COUNTA(A107,D107:S107)=0,"",AA107-AB107)</f>
        <v/>
      </c>
      <c r="AD107" s="12" t="str">
        <f aca="false">IF(COUNT(T107:U107)=0,"",AVERAGE(T107:U107))</f>
        <v/>
      </c>
      <c r="AE107" s="12" t="str">
        <f aca="false">IF(COUNT(V107:Z107)=0,"",AVERAGE(V107:Z107))</f>
        <v/>
      </c>
      <c r="AF107" s="11" t="str">
        <f aca="false">IF(COUNT(T107:U107)&lt;2,"",IF(ABS(T107-U107)&gt;=2,"Check",""))</f>
        <v/>
      </c>
    </row>
    <row r="108" customFormat="false" ht="15" hidden="false" customHeight="false" outlineLevel="0" collapsed="false">
      <c r="A108" s="9"/>
      <c r="B108" s="9"/>
      <c r="C108" s="9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1" t="str">
        <f aca="false">IF(COUNTA(A108,D108:S108)=0,"",SUMPRODUCT(--(D108:S108=D$2:S$2)))</f>
        <v/>
      </c>
      <c r="AB108" s="11" t="str">
        <f aca="false">IF(COUNTA(A108,D108:S108)=0,"",SUMPRODUCT((D108:S108=D$2:S$2)*D$3:S$3))</f>
        <v/>
      </c>
      <c r="AC108" s="11" t="str">
        <f aca="false">IF(COUNTA(A108,D108:S108)=0,"",AA108-AB108)</f>
        <v/>
      </c>
      <c r="AD108" s="12" t="str">
        <f aca="false">IF(COUNT(T108:U108)=0,"",AVERAGE(T108:U108))</f>
        <v/>
      </c>
      <c r="AE108" s="12" t="str">
        <f aca="false">IF(COUNT(V108:Z108)=0,"",AVERAGE(V108:Z108))</f>
        <v/>
      </c>
      <c r="AF108" s="11" t="str">
        <f aca="false">IF(COUNT(T108:U108)&lt;2,"",IF(ABS(T108-U108)&gt;=2,"Check",""))</f>
        <v/>
      </c>
    </row>
    <row r="109" customFormat="false" ht="15" hidden="false" customHeight="false" outlineLevel="0" collapsed="false">
      <c r="A109" s="9"/>
      <c r="B109" s="9"/>
      <c r="C109" s="9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1" t="str">
        <f aca="false">IF(COUNTA(A109,D109:S109)=0,"",SUMPRODUCT(--(D109:S109=D$2:S$2)))</f>
        <v/>
      </c>
      <c r="AB109" s="11" t="str">
        <f aca="false">IF(COUNTA(A109,D109:S109)=0,"",SUMPRODUCT((D109:S109=D$2:S$2)*D$3:S$3))</f>
        <v/>
      </c>
      <c r="AC109" s="11" t="str">
        <f aca="false">IF(COUNTA(A109,D109:S109)=0,"",AA109-AB109)</f>
        <v/>
      </c>
      <c r="AD109" s="12" t="str">
        <f aca="false">IF(COUNT(T109:U109)=0,"",AVERAGE(T109:U109))</f>
        <v/>
      </c>
      <c r="AE109" s="12" t="str">
        <f aca="false">IF(COUNT(V109:Z109)=0,"",AVERAGE(V109:Z109))</f>
        <v/>
      </c>
      <c r="AF109" s="11" t="str">
        <f aca="false">IF(COUNT(T109:U109)&lt;2,"",IF(ABS(T109-U109)&gt;=2,"Check",""))</f>
        <v/>
      </c>
    </row>
    <row r="110" customFormat="false" ht="15" hidden="false" customHeight="false" outlineLevel="0" collapsed="false">
      <c r="A110" s="9"/>
      <c r="B110" s="9"/>
      <c r="C110" s="9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1" t="str">
        <f aca="false">IF(COUNTA(A110,D110:S110)=0,"",SUMPRODUCT(--(D110:S110=D$2:S$2)))</f>
        <v/>
      </c>
      <c r="AB110" s="11" t="str">
        <f aca="false">IF(COUNTA(A110,D110:S110)=0,"",SUMPRODUCT((D110:S110=D$2:S$2)*D$3:S$3))</f>
        <v/>
      </c>
      <c r="AC110" s="11" t="str">
        <f aca="false">IF(COUNTA(A110,D110:S110)=0,"",AA110-AB110)</f>
        <v/>
      </c>
      <c r="AD110" s="12" t="str">
        <f aca="false">IF(COUNT(T110:U110)=0,"",AVERAGE(T110:U110))</f>
        <v/>
      </c>
      <c r="AE110" s="12" t="str">
        <f aca="false">IF(COUNT(V110:Z110)=0,"",AVERAGE(V110:Z110))</f>
        <v/>
      </c>
      <c r="AF110" s="11" t="str">
        <f aca="false">IF(COUNT(T110:U110)&lt;2,"",IF(ABS(T110-U110)&gt;=2,"Check",""))</f>
        <v/>
      </c>
    </row>
    <row r="111" customFormat="false" ht="15" hidden="false" customHeight="false" outlineLevel="0" collapsed="false">
      <c r="A111" s="9"/>
      <c r="B111" s="9"/>
      <c r="C111" s="9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1" t="str">
        <f aca="false">IF(COUNTA(A111,D111:S111)=0,"",SUMPRODUCT(--(D111:S111=D$2:S$2)))</f>
        <v/>
      </c>
      <c r="AB111" s="11" t="str">
        <f aca="false">IF(COUNTA(A111,D111:S111)=0,"",SUMPRODUCT((D111:S111=D$2:S$2)*D$3:S$3))</f>
        <v/>
      </c>
      <c r="AC111" s="11" t="str">
        <f aca="false">IF(COUNTA(A111,D111:S111)=0,"",AA111-AB111)</f>
        <v/>
      </c>
      <c r="AD111" s="12" t="str">
        <f aca="false">IF(COUNT(T111:U111)=0,"",AVERAGE(T111:U111))</f>
        <v/>
      </c>
      <c r="AE111" s="12" t="str">
        <f aca="false">IF(COUNT(V111:Z111)=0,"",AVERAGE(V111:Z111))</f>
        <v/>
      </c>
      <c r="AF111" s="11" t="str">
        <f aca="false">IF(COUNT(T111:U111)&lt;2,"",IF(ABS(T111-U111)&gt;=2,"Check",""))</f>
        <v/>
      </c>
    </row>
    <row r="112" customFormat="false" ht="15" hidden="false" customHeight="false" outlineLevel="0" collapsed="false">
      <c r="A112" s="9"/>
      <c r="B112" s="9"/>
      <c r="C112" s="9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1" t="str">
        <f aca="false">IF(COUNTA(A112,D112:S112)=0,"",SUMPRODUCT(--(D112:S112=D$2:S$2)))</f>
        <v/>
      </c>
      <c r="AB112" s="11" t="str">
        <f aca="false">IF(COUNTA(A112,D112:S112)=0,"",SUMPRODUCT((D112:S112=D$2:S$2)*D$3:S$3))</f>
        <v/>
      </c>
      <c r="AC112" s="11" t="str">
        <f aca="false">IF(COUNTA(A112,D112:S112)=0,"",AA112-AB112)</f>
        <v/>
      </c>
      <c r="AD112" s="12" t="str">
        <f aca="false">IF(COUNT(T112:U112)=0,"",AVERAGE(T112:U112))</f>
        <v/>
      </c>
      <c r="AE112" s="12" t="str">
        <f aca="false">IF(COUNT(V112:Z112)=0,"",AVERAGE(V112:Z112))</f>
        <v/>
      </c>
      <c r="AF112" s="11" t="str">
        <f aca="false">IF(COUNT(T112:U112)&lt;2,"",IF(ABS(T112-U112)&gt;=2,"Check",""))</f>
        <v/>
      </c>
    </row>
    <row r="113" customFormat="false" ht="15" hidden="false" customHeight="false" outlineLevel="0" collapsed="false">
      <c r="A113" s="9"/>
      <c r="B113" s="9"/>
      <c r="C113" s="9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1" t="str">
        <f aca="false">IF(COUNTA(A113,D113:S113)=0,"",SUMPRODUCT(--(D113:S113=D$2:S$2)))</f>
        <v/>
      </c>
      <c r="AB113" s="11" t="str">
        <f aca="false">IF(COUNTA(A113,D113:S113)=0,"",SUMPRODUCT((D113:S113=D$2:S$2)*D$3:S$3))</f>
        <v/>
      </c>
      <c r="AC113" s="11" t="str">
        <f aca="false">IF(COUNTA(A113,D113:S113)=0,"",AA113-AB113)</f>
        <v/>
      </c>
      <c r="AD113" s="12" t="str">
        <f aca="false">IF(COUNT(T113:U113)=0,"",AVERAGE(T113:U113))</f>
        <v/>
      </c>
      <c r="AE113" s="12" t="str">
        <f aca="false">IF(COUNT(V113:Z113)=0,"",AVERAGE(V113:Z113))</f>
        <v/>
      </c>
      <c r="AF113" s="11" t="str">
        <f aca="false">IF(COUNT(T113:U113)&lt;2,"",IF(ABS(T113-U113)&gt;=2,"Check",""))</f>
        <v/>
      </c>
    </row>
    <row r="114" customFormat="false" ht="15" hidden="false" customHeight="false" outlineLevel="0" collapsed="false">
      <c r="A114" s="9"/>
      <c r="B114" s="9"/>
      <c r="C114" s="9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1" t="str">
        <f aca="false">IF(COUNTA(A114,D114:S114)=0,"",SUMPRODUCT(--(D114:S114=D$2:S$2)))</f>
        <v/>
      </c>
      <c r="AB114" s="11" t="str">
        <f aca="false">IF(COUNTA(A114,D114:S114)=0,"",SUMPRODUCT((D114:S114=D$2:S$2)*D$3:S$3))</f>
        <v/>
      </c>
      <c r="AC114" s="11" t="str">
        <f aca="false">IF(COUNTA(A114,D114:S114)=0,"",AA114-AB114)</f>
        <v/>
      </c>
      <c r="AD114" s="12" t="str">
        <f aca="false">IF(COUNT(T114:U114)=0,"",AVERAGE(T114:U114))</f>
        <v/>
      </c>
      <c r="AE114" s="12" t="str">
        <f aca="false">IF(COUNT(V114:Z114)=0,"",AVERAGE(V114:Z114))</f>
        <v/>
      </c>
      <c r="AF114" s="11" t="str">
        <f aca="false">IF(COUNT(T114:U114)&lt;2,"",IF(ABS(T114-U114)&gt;=2,"Check",""))</f>
        <v/>
      </c>
    </row>
    <row r="115" customFormat="false" ht="15" hidden="false" customHeight="false" outlineLevel="0" collapsed="false">
      <c r="A115" s="9"/>
      <c r="B115" s="9"/>
      <c r="C115" s="9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1" t="str">
        <f aca="false">IF(COUNTA(A115,D115:S115)=0,"",SUMPRODUCT(--(D115:S115=D$2:S$2)))</f>
        <v/>
      </c>
      <c r="AB115" s="11" t="str">
        <f aca="false">IF(COUNTA(A115,D115:S115)=0,"",SUMPRODUCT((D115:S115=D$2:S$2)*D$3:S$3))</f>
        <v/>
      </c>
      <c r="AC115" s="11" t="str">
        <f aca="false">IF(COUNTA(A115,D115:S115)=0,"",AA115-AB115)</f>
        <v/>
      </c>
      <c r="AD115" s="12" t="str">
        <f aca="false">IF(COUNT(T115:U115)=0,"",AVERAGE(T115:U115))</f>
        <v/>
      </c>
      <c r="AE115" s="12" t="str">
        <f aca="false">IF(COUNT(V115:Z115)=0,"",AVERAGE(V115:Z115))</f>
        <v/>
      </c>
      <c r="AF115" s="11" t="str">
        <f aca="false">IF(COUNT(T115:U115)&lt;2,"",IF(ABS(T115-U115)&gt;=2,"Check",""))</f>
        <v/>
      </c>
    </row>
    <row r="116" customFormat="false" ht="15" hidden="false" customHeight="false" outlineLevel="0" collapsed="false">
      <c r="A116" s="9"/>
      <c r="B116" s="9"/>
      <c r="C116" s="9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1" t="str">
        <f aca="false">IF(COUNTA(A116,D116:S116)=0,"",SUMPRODUCT(--(D116:S116=D$2:S$2)))</f>
        <v/>
      </c>
      <c r="AB116" s="11" t="str">
        <f aca="false">IF(COUNTA(A116,D116:S116)=0,"",SUMPRODUCT((D116:S116=D$2:S$2)*D$3:S$3))</f>
        <v/>
      </c>
      <c r="AC116" s="11" t="str">
        <f aca="false">IF(COUNTA(A116,D116:S116)=0,"",AA116-AB116)</f>
        <v/>
      </c>
      <c r="AD116" s="12" t="str">
        <f aca="false">IF(COUNT(T116:U116)=0,"",AVERAGE(T116:U116))</f>
        <v/>
      </c>
      <c r="AE116" s="12" t="str">
        <f aca="false">IF(COUNT(V116:Z116)=0,"",AVERAGE(V116:Z116))</f>
        <v/>
      </c>
      <c r="AF116" s="11" t="str">
        <f aca="false">IF(COUNT(T116:U116)&lt;2,"",IF(ABS(T116-U116)&gt;=2,"Check",""))</f>
        <v/>
      </c>
    </row>
    <row r="117" customFormat="false" ht="15" hidden="false" customHeight="false" outlineLevel="0" collapsed="false">
      <c r="A117" s="9"/>
      <c r="B117" s="9"/>
      <c r="C117" s="9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1" t="str">
        <f aca="false">IF(COUNTA(A117,D117:S117)=0,"",SUMPRODUCT(--(D117:S117=D$2:S$2)))</f>
        <v/>
      </c>
      <c r="AB117" s="11" t="str">
        <f aca="false">IF(COUNTA(A117,D117:S117)=0,"",SUMPRODUCT((D117:S117=D$2:S$2)*D$3:S$3))</f>
        <v/>
      </c>
      <c r="AC117" s="11" t="str">
        <f aca="false">IF(COUNTA(A117,D117:S117)=0,"",AA117-AB117)</f>
        <v/>
      </c>
      <c r="AD117" s="12" t="str">
        <f aca="false">IF(COUNT(T117:U117)=0,"",AVERAGE(T117:U117))</f>
        <v/>
      </c>
      <c r="AE117" s="12" t="str">
        <f aca="false">IF(COUNT(V117:Z117)=0,"",AVERAGE(V117:Z117))</f>
        <v/>
      </c>
      <c r="AF117" s="11" t="str">
        <f aca="false">IF(COUNT(T117:U117)&lt;2,"",IF(ABS(T117-U117)&gt;=2,"Check",""))</f>
        <v/>
      </c>
    </row>
    <row r="118" customFormat="false" ht="15" hidden="false" customHeight="false" outlineLevel="0" collapsed="false">
      <c r="A118" s="9"/>
      <c r="B118" s="9"/>
      <c r="C118" s="9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1" t="str">
        <f aca="false">IF(COUNTA(A118,D118:S118)=0,"",SUMPRODUCT(--(D118:S118=D$2:S$2)))</f>
        <v/>
      </c>
      <c r="AB118" s="11" t="str">
        <f aca="false">IF(COUNTA(A118,D118:S118)=0,"",SUMPRODUCT((D118:S118=D$2:S$2)*D$3:S$3))</f>
        <v/>
      </c>
      <c r="AC118" s="11" t="str">
        <f aca="false">IF(COUNTA(A118,D118:S118)=0,"",AA118-AB118)</f>
        <v/>
      </c>
      <c r="AD118" s="12" t="str">
        <f aca="false">IF(COUNT(T118:U118)=0,"",AVERAGE(T118:U118))</f>
        <v/>
      </c>
      <c r="AE118" s="12" t="str">
        <f aca="false">IF(COUNT(V118:Z118)=0,"",AVERAGE(V118:Z118))</f>
        <v/>
      </c>
      <c r="AF118" s="11" t="str">
        <f aca="false">IF(COUNT(T118:U118)&lt;2,"",IF(ABS(T118-U118)&gt;=2,"Check",""))</f>
        <v/>
      </c>
    </row>
    <row r="119" customFormat="false" ht="15" hidden="false" customHeight="false" outlineLevel="0" collapsed="false">
      <c r="A119" s="9"/>
      <c r="B119" s="9"/>
      <c r="C119" s="9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1" t="str">
        <f aca="false">IF(COUNTA(A119,D119:S119)=0,"",SUMPRODUCT(--(D119:S119=D$2:S$2)))</f>
        <v/>
      </c>
      <c r="AB119" s="11" t="str">
        <f aca="false">IF(COUNTA(A119,D119:S119)=0,"",SUMPRODUCT((D119:S119=D$2:S$2)*D$3:S$3))</f>
        <v/>
      </c>
      <c r="AC119" s="11" t="str">
        <f aca="false">IF(COUNTA(A119,D119:S119)=0,"",AA119-AB119)</f>
        <v/>
      </c>
      <c r="AD119" s="12" t="str">
        <f aca="false">IF(COUNT(T119:U119)=0,"",AVERAGE(T119:U119))</f>
        <v/>
      </c>
      <c r="AE119" s="12" t="str">
        <f aca="false">IF(COUNT(V119:Z119)=0,"",AVERAGE(V119:Z119))</f>
        <v/>
      </c>
      <c r="AF119" s="11" t="str">
        <f aca="false">IF(COUNT(T119:U119)&lt;2,"",IF(ABS(T119-U119)&gt;=2,"Check",""))</f>
        <v/>
      </c>
    </row>
    <row r="120" customFormat="false" ht="15" hidden="false" customHeight="false" outlineLevel="0" collapsed="false">
      <c r="A120" s="9"/>
      <c r="B120" s="9"/>
      <c r="C120" s="9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1" t="str">
        <f aca="false">IF(COUNTA(A120,D120:S120)=0,"",SUMPRODUCT(--(D120:S120=D$2:S$2)))</f>
        <v/>
      </c>
      <c r="AB120" s="11" t="str">
        <f aca="false">IF(COUNTA(A120,D120:S120)=0,"",SUMPRODUCT((D120:S120=D$2:S$2)*D$3:S$3))</f>
        <v/>
      </c>
      <c r="AC120" s="11" t="str">
        <f aca="false">IF(COUNTA(A120,D120:S120)=0,"",AA120-AB120)</f>
        <v/>
      </c>
      <c r="AD120" s="12" t="str">
        <f aca="false">IF(COUNT(T120:U120)=0,"",AVERAGE(T120:U120))</f>
        <v/>
      </c>
      <c r="AE120" s="12" t="str">
        <f aca="false">IF(COUNT(V120:Z120)=0,"",AVERAGE(V120:Z120))</f>
        <v/>
      </c>
      <c r="AF120" s="11" t="str">
        <f aca="false">IF(COUNT(T120:U120)&lt;2,"",IF(ABS(T120-U120)&gt;=2,"Check",""))</f>
        <v/>
      </c>
    </row>
    <row r="121" customFormat="false" ht="15" hidden="false" customHeight="false" outlineLevel="0" collapsed="false">
      <c r="A121" s="9"/>
      <c r="B121" s="9"/>
      <c r="C121" s="9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1" t="str">
        <f aca="false">IF(COUNTA(A121,D121:S121)=0,"",SUMPRODUCT(--(D121:S121=D$2:S$2)))</f>
        <v/>
      </c>
      <c r="AB121" s="11" t="str">
        <f aca="false">IF(COUNTA(A121,D121:S121)=0,"",SUMPRODUCT((D121:S121=D$2:S$2)*D$3:S$3))</f>
        <v/>
      </c>
      <c r="AC121" s="11" t="str">
        <f aca="false">IF(COUNTA(A121,D121:S121)=0,"",AA121-AB121)</f>
        <v/>
      </c>
      <c r="AD121" s="12" t="str">
        <f aca="false">IF(COUNT(T121:U121)=0,"",AVERAGE(T121:U121))</f>
        <v/>
      </c>
      <c r="AE121" s="12" t="str">
        <f aca="false">IF(COUNT(V121:Z121)=0,"",AVERAGE(V121:Z121))</f>
        <v/>
      </c>
      <c r="AF121" s="11" t="str">
        <f aca="false">IF(COUNT(T121:U121)&lt;2,"",IF(ABS(T121-U121)&gt;=2,"Check",""))</f>
        <v/>
      </c>
    </row>
    <row r="122" customFormat="false" ht="15" hidden="false" customHeight="false" outlineLevel="0" collapsed="false">
      <c r="A122" s="9"/>
      <c r="B122" s="9"/>
      <c r="C122" s="9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1" t="str">
        <f aca="false">IF(COUNTA(A122,D122:S122)=0,"",SUMPRODUCT(--(D122:S122=D$2:S$2)))</f>
        <v/>
      </c>
      <c r="AB122" s="11" t="str">
        <f aca="false">IF(COUNTA(A122,D122:S122)=0,"",SUMPRODUCT((D122:S122=D$2:S$2)*D$3:S$3))</f>
        <v/>
      </c>
      <c r="AC122" s="11" t="str">
        <f aca="false">IF(COUNTA(A122,D122:S122)=0,"",AA122-AB122)</f>
        <v/>
      </c>
      <c r="AD122" s="12" t="str">
        <f aca="false">IF(COUNT(T122:U122)=0,"",AVERAGE(T122:U122))</f>
        <v/>
      </c>
      <c r="AE122" s="12" t="str">
        <f aca="false">IF(COUNT(V122:Z122)=0,"",AVERAGE(V122:Z122))</f>
        <v/>
      </c>
      <c r="AF122" s="11" t="str">
        <f aca="false">IF(COUNT(T122:U122)&lt;2,"",IF(ABS(T122-U122)&gt;=2,"Check",""))</f>
        <v/>
      </c>
    </row>
    <row r="123" customFormat="false" ht="15" hidden="false" customHeight="false" outlineLevel="0" collapsed="false">
      <c r="A123" s="9"/>
      <c r="B123" s="9"/>
      <c r="C123" s="9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1" t="str">
        <f aca="false">IF(COUNTA(A123,D123:S123)=0,"",SUMPRODUCT(--(D123:S123=D$2:S$2)))</f>
        <v/>
      </c>
      <c r="AB123" s="11" t="str">
        <f aca="false">IF(COUNTA(A123,D123:S123)=0,"",SUMPRODUCT((D123:S123=D$2:S$2)*D$3:S$3))</f>
        <v/>
      </c>
      <c r="AC123" s="11" t="str">
        <f aca="false">IF(COUNTA(A123,D123:S123)=0,"",AA123-AB123)</f>
        <v/>
      </c>
      <c r="AD123" s="12" t="str">
        <f aca="false">IF(COUNT(T123:U123)=0,"",AVERAGE(T123:U123))</f>
        <v/>
      </c>
      <c r="AE123" s="12" t="str">
        <f aca="false">IF(COUNT(V123:Z123)=0,"",AVERAGE(V123:Z123))</f>
        <v/>
      </c>
      <c r="AF123" s="11" t="str">
        <f aca="false">IF(COUNT(T123:U123)&lt;2,"",IF(ABS(T123-U123)&gt;=2,"Check",""))</f>
        <v/>
      </c>
    </row>
    <row r="124" customFormat="false" ht="15" hidden="false" customHeight="false" outlineLevel="0" collapsed="false">
      <c r="A124" s="9"/>
      <c r="B124" s="9"/>
      <c r="C124" s="9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1" t="str">
        <f aca="false">IF(COUNTA(A124,D124:S124)=0,"",SUMPRODUCT(--(D124:S124=D$2:S$2)))</f>
        <v/>
      </c>
      <c r="AB124" s="11" t="str">
        <f aca="false">IF(COUNTA(A124,D124:S124)=0,"",SUMPRODUCT((D124:S124=D$2:S$2)*D$3:S$3))</f>
        <v/>
      </c>
      <c r="AC124" s="11" t="str">
        <f aca="false">IF(COUNTA(A124,D124:S124)=0,"",AA124-AB124)</f>
        <v/>
      </c>
      <c r="AD124" s="12" t="str">
        <f aca="false">IF(COUNT(T124:U124)=0,"",AVERAGE(T124:U124))</f>
        <v/>
      </c>
      <c r="AE124" s="12" t="str">
        <f aca="false">IF(COUNT(V124:Z124)=0,"",AVERAGE(V124:Z124))</f>
        <v/>
      </c>
      <c r="AF124" s="11" t="str">
        <f aca="false">IF(COUNT(T124:U124)&lt;2,"",IF(ABS(T124-U124)&gt;=2,"Check",""))</f>
        <v/>
      </c>
    </row>
    <row r="125" customFormat="false" ht="15" hidden="false" customHeight="false" outlineLevel="0" collapsed="false">
      <c r="A125" s="9"/>
      <c r="B125" s="9"/>
      <c r="C125" s="9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1" t="str">
        <f aca="false">IF(COUNTA(A125,D125:S125)=0,"",SUMPRODUCT(--(D125:S125=D$2:S$2)))</f>
        <v/>
      </c>
      <c r="AB125" s="11" t="str">
        <f aca="false">IF(COUNTA(A125,D125:S125)=0,"",SUMPRODUCT((D125:S125=D$2:S$2)*D$3:S$3))</f>
        <v/>
      </c>
      <c r="AC125" s="11" t="str">
        <f aca="false">IF(COUNTA(A125,D125:S125)=0,"",AA125-AB125)</f>
        <v/>
      </c>
      <c r="AD125" s="12" t="str">
        <f aca="false">IF(COUNT(T125:U125)=0,"",AVERAGE(T125:U125))</f>
        <v/>
      </c>
      <c r="AE125" s="12" t="str">
        <f aca="false">IF(COUNT(V125:Z125)=0,"",AVERAGE(V125:Z125))</f>
        <v/>
      </c>
      <c r="AF125" s="11" t="str">
        <f aca="false">IF(COUNT(T125:U125)&lt;2,"",IF(ABS(T125-U125)&gt;=2,"Check",""))</f>
        <v/>
      </c>
    </row>
    <row r="126" customFormat="false" ht="15" hidden="false" customHeight="false" outlineLevel="0" collapsed="false">
      <c r="A126" s="9"/>
      <c r="B126" s="9"/>
      <c r="C126" s="9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1" t="str">
        <f aca="false">IF(COUNTA(A126,D126:S126)=0,"",SUMPRODUCT(--(D126:S126=D$2:S$2)))</f>
        <v/>
      </c>
      <c r="AB126" s="11" t="str">
        <f aca="false">IF(COUNTA(A126,D126:S126)=0,"",SUMPRODUCT((D126:S126=D$2:S$2)*D$3:S$3))</f>
        <v/>
      </c>
      <c r="AC126" s="11" t="str">
        <f aca="false">IF(COUNTA(A126,D126:S126)=0,"",AA126-AB126)</f>
        <v/>
      </c>
      <c r="AD126" s="12" t="str">
        <f aca="false">IF(COUNT(T126:U126)=0,"",AVERAGE(T126:U126))</f>
        <v/>
      </c>
      <c r="AE126" s="12" t="str">
        <f aca="false">IF(COUNT(V126:Z126)=0,"",AVERAGE(V126:Z126))</f>
        <v/>
      </c>
      <c r="AF126" s="11" t="str">
        <f aca="false">IF(COUNT(T126:U126)&lt;2,"",IF(ABS(T126-U126)&gt;=2,"Check",""))</f>
        <v/>
      </c>
    </row>
    <row r="127" customFormat="false" ht="15" hidden="false" customHeight="false" outlineLevel="0" collapsed="false">
      <c r="A127" s="9"/>
      <c r="B127" s="9"/>
      <c r="C127" s="9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1" t="str">
        <f aca="false">IF(COUNTA(A127,D127:S127)=0,"",SUMPRODUCT(--(D127:S127=D$2:S$2)))</f>
        <v/>
      </c>
      <c r="AB127" s="11" t="str">
        <f aca="false">IF(COUNTA(A127,D127:S127)=0,"",SUMPRODUCT((D127:S127=D$2:S$2)*D$3:S$3))</f>
        <v/>
      </c>
      <c r="AC127" s="11" t="str">
        <f aca="false">IF(COUNTA(A127,D127:S127)=0,"",AA127-AB127)</f>
        <v/>
      </c>
      <c r="AD127" s="12" t="str">
        <f aca="false">IF(COUNT(T127:U127)=0,"",AVERAGE(T127:U127))</f>
        <v/>
      </c>
      <c r="AE127" s="12" t="str">
        <f aca="false">IF(COUNT(V127:Z127)=0,"",AVERAGE(V127:Z127))</f>
        <v/>
      </c>
      <c r="AF127" s="11" t="str">
        <f aca="false">IF(COUNT(T127:U127)&lt;2,"",IF(ABS(T127-U127)&gt;=2,"Check",""))</f>
        <v/>
      </c>
    </row>
    <row r="128" customFormat="false" ht="15" hidden="false" customHeight="false" outlineLevel="0" collapsed="false">
      <c r="A128" s="9"/>
      <c r="B128" s="9"/>
      <c r="C128" s="9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1" t="str">
        <f aca="false">IF(COUNTA(A128,D128:S128)=0,"",SUMPRODUCT(--(D128:S128=D$2:S$2)))</f>
        <v/>
      </c>
      <c r="AB128" s="11" t="str">
        <f aca="false">IF(COUNTA(A128,D128:S128)=0,"",SUMPRODUCT((D128:S128=D$2:S$2)*D$3:S$3))</f>
        <v/>
      </c>
      <c r="AC128" s="11" t="str">
        <f aca="false">IF(COUNTA(A128,D128:S128)=0,"",AA128-AB128)</f>
        <v/>
      </c>
      <c r="AD128" s="12" t="str">
        <f aca="false">IF(COUNT(T128:U128)=0,"",AVERAGE(T128:U128))</f>
        <v/>
      </c>
      <c r="AE128" s="12" t="str">
        <f aca="false">IF(COUNT(V128:Z128)=0,"",AVERAGE(V128:Z128))</f>
        <v/>
      </c>
      <c r="AF128" s="11" t="str">
        <f aca="false">IF(COUNT(T128:U128)&lt;2,"",IF(ABS(T128-U128)&gt;=2,"Check",""))</f>
        <v/>
      </c>
    </row>
    <row r="129" customFormat="false" ht="15" hidden="false" customHeight="false" outlineLevel="0" collapsed="false">
      <c r="A129" s="9"/>
      <c r="B129" s="9"/>
      <c r="C129" s="9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1" t="str">
        <f aca="false">IF(COUNTA(A129,D129:S129)=0,"",SUMPRODUCT(--(D129:S129=D$2:S$2)))</f>
        <v/>
      </c>
      <c r="AB129" s="11" t="str">
        <f aca="false">IF(COUNTA(A129,D129:S129)=0,"",SUMPRODUCT((D129:S129=D$2:S$2)*D$3:S$3))</f>
        <v/>
      </c>
      <c r="AC129" s="11" t="str">
        <f aca="false">IF(COUNTA(A129,D129:S129)=0,"",AA129-AB129)</f>
        <v/>
      </c>
      <c r="AD129" s="12" t="str">
        <f aca="false">IF(COUNT(T129:U129)=0,"",AVERAGE(T129:U129))</f>
        <v/>
      </c>
      <c r="AE129" s="12" t="str">
        <f aca="false">IF(COUNT(V129:Z129)=0,"",AVERAGE(V129:Z129))</f>
        <v/>
      </c>
      <c r="AF129" s="11" t="str">
        <f aca="false">IF(COUNT(T129:U129)&lt;2,"",IF(ABS(T129-U129)&gt;=2,"Check",""))</f>
        <v/>
      </c>
    </row>
    <row r="130" customFormat="false" ht="15" hidden="false" customHeight="false" outlineLevel="0" collapsed="false">
      <c r="A130" s="9"/>
      <c r="B130" s="9"/>
      <c r="C130" s="9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1" t="str">
        <f aca="false">IF(COUNTA(A130,D130:S130)=0,"",SUMPRODUCT(--(D130:S130=D$2:S$2)))</f>
        <v/>
      </c>
      <c r="AB130" s="11" t="str">
        <f aca="false">IF(COUNTA(A130,D130:S130)=0,"",SUMPRODUCT((D130:S130=D$2:S$2)*D$3:S$3))</f>
        <v/>
      </c>
      <c r="AC130" s="11" t="str">
        <f aca="false">IF(COUNTA(A130,D130:S130)=0,"",AA130-AB130)</f>
        <v/>
      </c>
      <c r="AD130" s="12" t="str">
        <f aca="false">IF(COUNT(T130:U130)=0,"",AVERAGE(T130:U130))</f>
        <v/>
      </c>
      <c r="AE130" s="12" t="str">
        <f aca="false">IF(COUNT(V130:Z130)=0,"",AVERAGE(V130:Z130))</f>
        <v/>
      </c>
      <c r="AF130" s="11" t="str">
        <f aca="false">IF(COUNT(T130:U130)&lt;2,"",IF(ABS(T130-U130)&gt;=2,"Check",""))</f>
        <v/>
      </c>
    </row>
    <row r="131" customFormat="false" ht="15" hidden="false" customHeight="false" outlineLevel="0" collapsed="false">
      <c r="A131" s="9"/>
      <c r="B131" s="9"/>
      <c r="C131" s="9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1" t="str">
        <f aca="false">IF(COUNTA(A131,D131:S131)=0,"",SUMPRODUCT(--(D131:S131=D$2:S$2)))</f>
        <v/>
      </c>
      <c r="AB131" s="11" t="str">
        <f aca="false">IF(COUNTA(A131,D131:S131)=0,"",SUMPRODUCT((D131:S131=D$2:S$2)*D$3:S$3))</f>
        <v/>
      </c>
      <c r="AC131" s="11" t="str">
        <f aca="false">IF(COUNTA(A131,D131:S131)=0,"",AA131-AB131)</f>
        <v/>
      </c>
      <c r="AD131" s="12" t="str">
        <f aca="false">IF(COUNT(T131:U131)=0,"",AVERAGE(T131:U131))</f>
        <v/>
      </c>
      <c r="AE131" s="12" t="str">
        <f aca="false">IF(COUNT(V131:Z131)=0,"",AVERAGE(V131:Z131))</f>
        <v/>
      </c>
      <c r="AF131" s="11" t="str">
        <f aca="false">IF(COUNT(T131:U131)&lt;2,"",IF(ABS(T131-U131)&gt;=2,"Check",""))</f>
        <v/>
      </c>
    </row>
    <row r="132" customFormat="false" ht="15" hidden="false" customHeight="false" outlineLevel="0" collapsed="false">
      <c r="A132" s="9"/>
      <c r="B132" s="9"/>
      <c r="C132" s="9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1" t="str">
        <f aca="false">IF(COUNTA(A132,D132:S132)=0,"",SUMPRODUCT(--(D132:S132=D$2:S$2)))</f>
        <v/>
      </c>
      <c r="AB132" s="11" t="str">
        <f aca="false">IF(COUNTA(A132,D132:S132)=0,"",SUMPRODUCT((D132:S132=D$2:S$2)*D$3:S$3))</f>
        <v/>
      </c>
      <c r="AC132" s="11" t="str">
        <f aca="false">IF(COUNTA(A132,D132:S132)=0,"",AA132-AB132)</f>
        <v/>
      </c>
      <c r="AD132" s="12" t="str">
        <f aca="false">IF(COUNT(T132:U132)=0,"",AVERAGE(T132:U132))</f>
        <v/>
      </c>
      <c r="AE132" s="12" t="str">
        <f aca="false">IF(COUNT(V132:Z132)=0,"",AVERAGE(V132:Z132))</f>
        <v/>
      </c>
      <c r="AF132" s="11" t="str">
        <f aca="false">IF(COUNT(T132:U132)&lt;2,"",IF(ABS(T132-U132)&gt;=2,"Check",""))</f>
        <v/>
      </c>
    </row>
    <row r="133" customFormat="false" ht="15" hidden="false" customHeight="false" outlineLevel="0" collapsed="false">
      <c r="A133" s="9"/>
      <c r="B133" s="9"/>
      <c r="C133" s="9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1" t="str">
        <f aca="false">IF(COUNTA(A133,D133:S133)=0,"",SUMPRODUCT(--(D133:S133=D$2:S$2)))</f>
        <v/>
      </c>
      <c r="AB133" s="11" t="str">
        <f aca="false">IF(COUNTA(A133,D133:S133)=0,"",SUMPRODUCT((D133:S133=D$2:S$2)*D$3:S$3))</f>
        <v/>
      </c>
      <c r="AC133" s="11" t="str">
        <f aca="false">IF(COUNTA(A133,D133:S133)=0,"",AA133-AB133)</f>
        <v/>
      </c>
      <c r="AD133" s="12" t="str">
        <f aca="false">IF(COUNT(T133:U133)=0,"",AVERAGE(T133:U133))</f>
        <v/>
      </c>
      <c r="AE133" s="12" t="str">
        <f aca="false">IF(COUNT(V133:Z133)=0,"",AVERAGE(V133:Z133))</f>
        <v/>
      </c>
      <c r="AF133" s="11" t="str">
        <f aca="false">IF(COUNT(T133:U133)&lt;2,"",IF(ABS(T133-U133)&gt;=2,"Check",""))</f>
        <v/>
      </c>
    </row>
    <row r="134" customFormat="false" ht="15" hidden="false" customHeight="false" outlineLevel="0" collapsed="false">
      <c r="A134" s="9"/>
      <c r="B134" s="9"/>
      <c r="C134" s="9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1" t="str">
        <f aca="false">IF(COUNTA(A134,D134:S134)=0,"",SUMPRODUCT(--(D134:S134=D$2:S$2)))</f>
        <v/>
      </c>
      <c r="AB134" s="11" t="str">
        <f aca="false">IF(COUNTA(A134,D134:S134)=0,"",SUMPRODUCT((D134:S134=D$2:S$2)*D$3:S$3))</f>
        <v/>
      </c>
      <c r="AC134" s="11" t="str">
        <f aca="false">IF(COUNTA(A134,D134:S134)=0,"",AA134-AB134)</f>
        <v/>
      </c>
      <c r="AD134" s="12" t="str">
        <f aca="false">IF(COUNT(T134:U134)=0,"",AVERAGE(T134:U134))</f>
        <v/>
      </c>
      <c r="AE134" s="12" t="str">
        <f aca="false">IF(COUNT(V134:Z134)=0,"",AVERAGE(V134:Z134))</f>
        <v/>
      </c>
      <c r="AF134" s="11" t="str">
        <f aca="false">IF(COUNT(T134:U134)&lt;2,"",IF(ABS(T134-U134)&gt;=2,"Check",""))</f>
        <v/>
      </c>
    </row>
    <row r="135" customFormat="false" ht="15" hidden="false" customHeight="false" outlineLevel="0" collapsed="false">
      <c r="A135" s="9"/>
      <c r="B135" s="9"/>
      <c r="C135" s="9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1" t="str">
        <f aca="false">IF(COUNTA(A135,D135:S135)=0,"",SUMPRODUCT(--(D135:S135=D$2:S$2)))</f>
        <v/>
      </c>
      <c r="AB135" s="11" t="str">
        <f aca="false">IF(COUNTA(A135,D135:S135)=0,"",SUMPRODUCT((D135:S135=D$2:S$2)*D$3:S$3))</f>
        <v/>
      </c>
      <c r="AC135" s="11" t="str">
        <f aca="false">IF(COUNTA(A135,D135:S135)=0,"",AA135-AB135)</f>
        <v/>
      </c>
      <c r="AD135" s="12" t="str">
        <f aca="false">IF(COUNT(T135:U135)=0,"",AVERAGE(T135:U135))</f>
        <v/>
      </c>
      <c r="AE135" s="12" t="str">
        <f aca="false">IF(COUNT(V135:Z135)=0,"",AVERAGE(V135:Z135))</f>
        <v/>
      </c>
      <c r="AF135" s="11" t="str">
        <f aca="false">IF(COUNT(T135:U135)&lt;2,"",IF(ABS(T135-U135)&gt;=2,"Check",""))</f>
        <v/>
      </c>
    </row>
    <row r="136" customFormat="false" ht="15" hidden="false" customHeight="false" outlineLevel="0" collapsed="false">
      <c r="A136" s="9"/>
      <c r="B136" s="9"/>
      <c r="C136" s="9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1" t="str">
        <f aca="false">IF(COUNTA(A136,D136:S136)=0,"",SUMPRODUCT(--(D136:S136=D$2:S$2)))</f>
        <v/>
      </c>
      <c r="AB136" s="11" t="str">
        <f aca="false">IF(COUNTA(A136,D136:S136)=0,"",SUMPRODUCT((D136:S136=D$2:S$2)*D$3:S$3))</f>
        <v/>
      </c>
      <c r="AC136" s="11" t="str">
        <f aca="false">IF(COUNTA(A136,D136:S136)=0,"",AA136-AB136)</f>
        <v/>
      </c>
      <c r="AD136" s="12" t="str">
        <f aca="false">IF(COUNT(T136:U136)=0,"",AVERAGE(T136:U136))</f>
        <v/>
      </c>
      <c r="AE136" s="12" t="str">
        <f aca="false">IF(COUNT(V136:Z136)=0,"",AVERAGE(V136:Z136))</f>
        <v/>
      </c>
      <c r="AF136" s="11" t="str">
        <f aca="false">IF(COUNT(T136:U136)&lt;2,"",IF(ABS(T136-U136)&gt;=2,"Check",""))</f>
        <v/>
      </c>
    </row>
    <row r="137" customFormat="false" ht="15" hidden="false" customHeight="false" outlineLevel="0" collapsed="false">
      <c r="A137" s="9"/>
      <c r="B137" s="9"/>
      <c r="C137" s="9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1" t="str">
        <f aca="false">IF(COUNTA(A137,D137:S137)=0,"",SUMPRODUCT(--(D137:S137=D$2:S$2)))</f>
        <v/>
      </c>
      <c r="AB137" s="11" t="str">
        <f aca="false">IF(COUNTA(A137,D137:S137)=0,"",SUMPRODUCT((D137:S137=D$2:S$2)*D$3:S$3))</f>
        <v/>
      </c>
      <c r="AC137" s="11" t="str">
        <f aca="false">IF(COUNTA(A137,D137:S137)=0,"",AA137-AB137)</f>
        <v/>
      </c>
      <c r="AD137" s="12" t="str">
        <f aca="false">IF(COUNT(T137:U137)=0,"",AVERAGE(T137:U137))</f>
        <v/>
      </c>
      <c r="AE137" s="12" t="str">
        <f aca="false">IF(COUNT(V137:Z137)=0,"",AVERAGE(V137:Z137))</f>
        <v/>
      </c>
      <c r="AF137" s="11" t="str">
        <f aca="false">IF(COUNT(T137:U137)&lt;2,"",IF(ABS(T137-U137)&gt;=2,"Check",""))</f>
        <v/>
      </c>
    </row>
    <row r="138" customFormat="false" ht="15" hidden="false" customHeight="false" outlineLevel="0" collapsed="false">
      <c r="A138" s="9"/>
      <c r="B138" s="9"/>
      <c r="C138" s="9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1" t="str">
        <f aca="false">IF(COUNTA(A138,D138:S138)=0,"",SUMPRODUCT(--(D138:S138=D$2:S$2)))</f>
        <v/>
      </c>
      <c r="AB138" s="11" t="str">
        <f aca="false">IF(COUNTA(A138,D138:S138)=0,"",SUMPRODUCT((D138:S138=D$2:S$2)*D$3:S$3))</f>
        <v/>
      </c>
      <c r="AC138" s="11" t="str">
        <f aca="false">IF(COUNTA(A138,D138:S138)=0,"",AA138-AB138)</f>
        <v/>
      </c>
      <c r="AD138" s="12" t="str">
        <f aca="false">IF(COUNT(T138:U138)=0,"",AVERAGE(T138:U138))</f>
        <v/>
      </c>
      <c r="AE138" s="12" t="str">
        <f aca="false">IF(COUNT(V138:Z138)=0,"",AVERAGE(V138:Z138))</f>
        <v/>
      </c>
      <c r="AF138" s="11" t="str">
        <f aca="false">IF(COUNT(T138:U138)&lt;2,"",IF(ABS(T138-U138)&gt;=2,"Check",""))</f>
        <v/>
      </c>
    </row>
    <row r="139" customFormat="false" ht="15" hidden="false" customHeight="false" outlineLevel="0" collapsed="false">
      <c r="A139" s="9"/>
      <c r="B139" s="9"/>
      <c r="C139" s="9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1" t="str">
        <f aca="false">IF(COUNTA(A139,D139:S139)=0,"",SUMPRODUCT(--(D139:S139=D$2:S$2)))</f>
        <v/>
      </c>
      <c r="AB139" s="11" t="str">
        <f aca="false">IF(COUNTA(A139,D139:S139)=0,"",SUMPRODUCT((D139:S139=D$2:S$2)*D$3:S$3))</f>
        <v/>
      </c>
      <c r="AC139" s="11" t="str">
        <f aca="false">IF(COUNTA(A139,D139:S139)=0,"",AA139-AB139)</f>
        <v/>
      </c>
      <c r="AD139" s="12" t="str">
        <f aca="false">IF(COUNT(T139:U139)=0,"",AVERAGE(T139:U139))</f>
        <v/>
      </c>
      <c r="AE139" s="12" t="str">
        <f aca="false">IF(COUNT(V139:Z139)=0,"",AVERAGE(V139:Z139))</f>
        <v/>
      </c>
      <c r="AF139" s="11" t="str">
        <f aca="false">IF(COUNT(T139:U139)&lt;2,"",IF(ABS(T139-U139)&gt;=2,"Check",""))</f>
        <v/>
      </c>
    </row>
    <row r="140" customFormat="false" ht="15" hidden="false" customHeight="false" outlineLevel="0" collapsed="false">
      <c r="A140" s="9"/>
      <c r="B140" s="9"/>
      <c r="C140" s="9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1" t="str">
        <f aca="false">IF(COUNTA(A140,D140:S140)=0,"",SUMPRODUCT(--(D140:S140=D$2:S$2)))</f>
        <v/>
      </c>
      <c r="AB140" s="11" t="str">
        <f aca="false">IF(COUNTA(A140,D140:S140)=0,"",SUMPRODUCT((D140:S140=D$2:S$2)*D$3:S$3))</f>
        <v/>
      </c>
      <c r="AC140" s="11" t="str">
        <f aca="false">IF(COUNTA(A140,D140:S140)=0,"",AA140-AB140)</f>
        <v/>
      </c>
      <c r="AD140" s="12" t="str">
        <f aca="false">IF(COUNT(T140:U140)=0,"",AVERAGE(T140:U140))</f>
        <v/>
      </c>
      <c r="AE140" s="12" t="str">
        <f aca="false">IF(COUNT(V140:Z140)=0,"",AVERAGE(V140:Z140))</f>
        <v/>
      </c>
      <c r="AF140" s="11" t="str">
        <f aca="false">IF(COUNT(T140:U140)&lt;2,"",IF(ABS(T140-U140)&gt;=2,"Check",""))</f>
        <v/>
      </c>
    </row>
    <row r="141" customFormat="false" ht="15" hidden="false" customHeight="false" outlineLevel="0" collapsed="false">
      <c r="A141" s="9"/>
      <c r="B141" s="9"/>
      <c r="C141" s="9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1" t="str">
        <f aca="false">IF(COUNTA(A141,D141:S141)=0,"",SUMPRODUCT(--(D141:S141=D$2:S$2)))</f>
        <v/>
      </c>
      <c r="AB141" s="11" t="str">
        <f aca="false">IF(COUNTA(A141,D141:S141)=0,"",SUMPRODUCT((D141:S141=D$2:S$2)*D$3:S$3))</f>
        <v/>
      </c>
      <c r="AC141" s="11" t="str">
        <f aca="false">IF(COUNTA(A141,D141:S141)=0,"",AA141-AB141)</f>
        <v/>
      </c>
      <c r="AD141" s="12" t="str">
        <f aca="false">IF(COUNT(T141:U141)=0,"",AVERAGE(T141:U141))</f>
        <v/>
      </c>
      <c r="AE141" s="12" t="str">
        <f aca="false">IF(COUNT(V141:Z141)=0,"",AVERAGE(V141:Z141))</f>
        <v/>
      </c>
      <c r="AF141" s="11" t="str">
        <f aca="false">IF(COUNT(T141:U141)&lt;2,"",IF(ABS(T141-U141)&gt;=2,"Check",""))</f>
        <v/>
      </c>
    </row>
    <row r="142" customFormat="false" ht="15" hidden="false" customHeight="false" outlineLevel="0" collapsed="false">
      <c r="A142" s="9"/>
      <c r="B142" s="9"/>
      <c r="C142" s="9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1" t="str">
        <f aca="false">IF(COUNTA(A142,D142:S142)=0,"",SUMPRODUCT(--(D142:S142=D$2:S$2)))</f>
        <v/>
      </c>
      <c r="AB142" s="11" t="str">
        <f aca="false">IF(COUNTA(A142,D142:S142)=0,"",SUMPRODUCT((D142:S142=D$2:S$2)*D$3:S$3))</f>
        <v/>
      </c>
      <c r="AC142" s="11" t="str">
        <f aca="false">IF(COUNTA(A142,D142:S142)=0,"",AA142-AB142)</f>
        <v/>
      </c>
      <c r="AD142" s="12" t="str">
        <f aca="false">IF(COUNT(T142:U142)=0,"",AVERAGE(T142:U142))</f>
        <v/>
      </c>
      <c r="AE142" s="12" t="str">
        <f aca="false">IF(COUNT(V142:Z142)=0,"",AVERAGE(V142:Z142))</f>
        <v/>
      </c>
      <c r="AF142" s="11" t="str">
        <f aca="false">IF(COUNT(T142:U142)&lt;2,"",IF(ABS(T142-U142)&gt;=2,"Check",""))</f>
        <v/>
      </c>
    </row>
    <row r="143" customFormat="false" ht="15" hidden="false" customHeight="false" outlineLevel="0" collapsed="false">
      <c r="A143" s="9"/>
      <c r="B143" s="9"/>
      <c r="C143" s="9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1" t="str">
        <f aca="false">IF(COUNTA(A143,D143:S143)=0,"",SUMPRODUCT(--(D143:S143=D$2:S$2)))</f>
        <v/>
      </c>
      <c r="AB143" s="11" t="str">
        <f aca="false">IF(COUNTA(A143,D143:S143)=0,"",SUMPRODUCT((D143:S143=D$2:S$2)*D$3:S$3))</f>
        <v/>
      </c>
      <c r="AC143" s="11" t="str">
        <f aca="false">IF(COUNTA(A143,D143:S143)=0,"",AA143-AB143)</f>
        <v/>
      </c>
      <c r="AD143" s="12" t="str">
        <f aca="false">IF(COUNT(T143:U143)=0,"",AVERAGE(T143:U143))</f>
        <v/>
      </c>
      <c r="AE143" s="12" t="str">
        <f aca="false">IF(COUNT(V143:Z143)=0,"",AVERAGE(V143:Z143))</f>
        <v/>
      </c>
      <c r="AF143" s="11" t="str">
        <f aca="false">IF(COUNT(T143:U143)&lt;2,"",IF(ABS(T143-U143)&gt;=2,"Check",""))</f>
        <v/>
      </c>
    </row>
    <row r="144" customFormat="false" ht="15" hidden="false" customHeight="false" outlineLevel="0" collapsed="false">
      <c r="A144" s="9"/>
      <c r="B144" s="9"/>
      <c r="C144" s="9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1" t="str">
        <f aca="false">IF(COUNTA(A144,D144:S144)=0,"",SUMPRODUCT(--(D144:S144=D$2:S$2)))</f>
        <v/>
      </c>
      <c r="AB144" s="11" t="str">
        <f aca="false">IF(COUNTA(A144,D144:S144)=0,"",SUMPRODUCT((D144:S144=D$2:S$2)*D$3:S$3))</f>
        <v/>
      </c>
      <c r="AC144" s="11" t="str">
        <f aca="false">IF(COUNTA(A144,D144:S144)=0,"",AA144-AB144)</f>
        <v/>
      </c>
      <c r="AD144" s="12" t="str">
        <f aca="false">IF(COUNT(T144:U144)=0,"",AVERAGE(T144:U144))</f>
        <v/>
      </c>
      <c r="AE144" s="12" t="str">
        <f aca="false">IF(COUNT(V144:Z144)=0,"",AVERAGE(V144:Z144))</f>
        <v/>
      </c>
      <c r="AF144" s="11" t="str">
        <f aca="false">IF(COUNT(T144:U144)&lt;2,"",IF(ABS(T144-U144)&gt;=2,"Check",""))</f>
        <v/>
      </c>
    </row>
    <row r="145" customFormat="false" ht="15" hidden="false" customHeight="false" outlineLevel="0" collapsed="false">
      <c r="A145" s="9"/>
      <c r="B145" s="9"/>
      <c r="C145" s="9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1" t="str">
        <f aca="false">IF(COUNTA(A145,D145:S145)=0,"",SUMPRODUCT(--(D145:S145=D$2:S$2)))</f>
        <v/>
      </c>
      <c r="AB145" s="11" t="str">
        <f aca="false">IF(COUNTA(A145,D145:S145)=0,"",SUMPRODUCT((D145:S145=D$2:S$2)*D$3:S$3))</f>
        <v/>
      </c>
      <c r="AC145" s="11" t="str">
        <f aca="false">IF(COUNTA(A145,D145:S145)=0,"",AA145-AB145)</f>
        <v/>
      </c>
      <c r="AD145" s="12" t="str">
        <f aca="false">IF(COUNT(T145:U145)=0,"",AVERAGE(T145:U145))</f>
        <v/>
      </c>
      <c r="AE145" s="12" t="str">
        <f aca="false">IF(COUNT(V145:Z145)=0,"",AVERAGE(V145:Z145))</f>
        <v/>
      </c>
      <c r="AF145" s="11" t="str">
        <f aca="false">IF(COUNT(T145:U145)&lt;2,"",IF(ABS(T145-U145)&gt;=2,"Check",""))</f>
        <v/>
      </c>
    </row>
    <row r="146" customFormat="false" ht="15" hidden="false" customHeight="false" outlineLevel="0" collapsed="false">
      <c r="A146" s="9"/>
      <c r="B146" s="9"/>
      <c r="C146" s="9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1" t="str">
        <f aca="false">IF(COUNTA(A146,D146:S146)=0,"",SUMPRODUCT(--(D146:S146=D$2:S$2)))</f>
        <v/>
      </c>
      <c r="AB146" s="11" t="str">
        <f aca="false">IF(COUNTA(A146,D146:S146)=0,"",SUMPRODUCT((D146:S146=D$2:S$2)*D$3:S$3))</f>
        <v/>
      </c>
      <c r="AC146" s="11" t="str">
        <f aca="false">IF(COUNTA(A146,D146:S146)=0,"",AA146-AB146)</f>
        <v/>
      </c>
      <c r="AD146" s="12" t="str">
        <f aca="false">IF(COUNT(T146:U146)=0,"",AVERAGE(T146:U146))</f>
        <v/>
      </c>
      <c r="AE146" s="12" t="str">
        <f aca="false">IF(COUNT(V146:Z146)=0,"",AVERAGE(V146:Z146))</f>
        <v/>
      </c>
      <c r="AF146" s="11" t="str">
        <f aca="false">IF(COUNT(T146:U146)&lt;2,"",IF(ABS(T146-U146)&gt;=2,"Check",""))</f>
        <v/>
      </c>
    </row>
    <row r="147" customFormat="false" ht="15" hidden="false" customHeight="false" outlineLevel="0" collapsed="false">
      <c r="A147" s="9"/>
      <c r="B147" s="9"/>
      <c r="C147" s="9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1" t="str">
        <f aca="false">IF(COUNTA(A147,D147:S147)=0,"",SUMPRODUCT(--(D147:S147=D$2:S$2)))</f>
        <v/>
      </c>
      <c r="AB147" s="11" t="str">
        <f aca="false">IF(COUNTA(A147,D147:S147)=0,"",SUMPRODUCT((D147:S147=D$2:S$2)*D$3:S$3))</f>
        <v/>
      </c>
      <c r="AC147" s="11" t="str">
        <f aca="false">IF(COUNTA(A147,D147:S147)=0,"",AA147-AB147)</f>
        <v/>
      </c>
      <c r="AD147" s="12" t="str">
        <f aca="false">IF(COUNT(T147:U147)=0,"",AVERAGE(T147:U147))</f>
        <v/>
      </c>
      <c r="AE147" s="12" t="str">
        <f aca="false">IF(COUNT(V147:Z147)=0,"",AVERAGE(V147:Z147))</f>
        <v/>
      </c>
      <c r="AF147" s="11" t="str">
        <f aca="false">IF(COUNT(T147:U147)&lt;2,"",IF(ABS(T147-U147)&gt;=2,"Check",""))</f>
        <v/>
      </c>
    </row>
    <row r="148" customFormat="false" ht="15" hidden="false" customHeight="false" outlineLevel="0" collapsed="false">
      <c r="A148" s="9"/>
      <c r="B148" s="9"/>
      <c r="C148" s="9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1" t="str">
        <f aca="false">IF(COUNTA(A148,D148:S148)=0,"",SUMPRODUCT(--(D148:S148=D$2:S$2)))</f>
        <v/>
      </c>
      <c r="AB148" s="11" t="str">
        <f aca="false">IF(COUNTA(A148,D148:S148)=0,"",SUMPRODUCT((D148:S148=D$2:S$2)*D$3:S$3))</f>
        <v/>
      </c>
      <c r="AC148" s="11" t="str">
        <f aca="false">IF(COUNTA(A148,D148:S148)=0,"",AA148-AB148)</f>
        <v/>
      </c>
      <c r="AD148" s="12" t="str">
        <f aca="false">IF(COUNT(T148:U148)=0,"",AVERAGE(T148:U148))</f>
        <v/>
      </c>
      <c r="AE148" s="12" t="str">
        <f aca="false">IF(COUNT(V148:Z148)=0,"",AVERAGE(V148:Z148))</f>
        <v/>
      </c>
      <c r="AF148" s="11" t="str">
        <f aca="false">IF(COUNT(T148:U148)&lt;2,"",IF(ABS(T148-U148)&gt;=2,"Check",""))</f>
        <v/>
      </c>
    </row>
    <row r="149" customFormat="false" ht="15" hidden="false" customHeight="false" outlineLevel="0" collapsed="false">
      <c r="A149" s="9"/>
      <c r="B149" s="9"/>
      <c r="C149" s="9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1" t="str">
        <f aca="false">IF(COUNTA(A149,D149:S149)=0,"",SUMPRODUCT(--(D149:S149=D$2:S$2)))</f>
        <v/>
      </c>
      <c r="AB149" s="11" t="str">
        <f aca="false">IF(COUNTA(A149,D149:S149)=0,"",SUMPRODUCT((D149:S149=D$2:S$2)*D$3:S$3))</f>
        <v/>
      </c>
      <c r="AC149" s="11" t="str">
        <f aca="false">IF(COUNTA(A149,D149:S149)=0,"",AA149-AB149)</f>
        <v/>
      </c>
      <c r="AD149" s="12" t="str">
        <f aca="false">IF(COUNT(T149:U149)=0,"",AVERAGE(T149:U149))</f>
        <v/>
      </c>
      <c r="AE149" s="12" t="str">
        <f aca="false">IF(COUNT(V149:Z149)=0,"",AVERAGE(V149:Z149))</f>
        <v/>
      </c>
      <c r="AF149" s="11" t="str">
        <f aca="false">IF(COUNT(T149:U149)&lt;2,"",IF(ABS(T149-U149)&gt;=2,"Check",""))</f>
        <v/>
      </c>
    </row>
    <row r="150" customFormat="false" ht="15" hidden="false" customHeight="false" outlineLevel="0" collapsed="false">
      <c r="A150" s="9"/>
      <c r="B150" s="9"/>
      <c r="C150" s="9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1" t="str">
        <f aca="false">IF(COUNTA(A150,D150:S150)=0,"",SUMPRODUCT(--(D150:S150=D$2:S$2)))</f>
        <v/>
      </c>
      <c r="AB150" s="11" t="str">
        <f aca="false">IF(COUNTA(A150,D150:S150)=0,"",SUMPRODUCT((D150:S150=D$2:S$2)*D$3:S$3))</f>
        <v/>
      </c>
      <c r="AC150" s="11" t="str">
        <f aca="false">IF(COUNTA(A150,D150:S150)=0,"",AA150-AB150)</f>
        <v/>
      </c>
      <c r="AD150" s="12" t="str">
        <f aca="false">IF(COUNT(T150:U150)=0,"",AVERAGE(T150:U150))</f>
        <v/>
      </c>
      <c r="AE150" s="12" t="str">
        <f aca="false">IF(COUNT(V150:Z150)=0,"",AVERAGE(V150:Z150))</f>
        <v/>
      </c>
      <c r="AF150" s="11" t="str">
        <f aca="false">IF(COUNT(T150:U150)&lt;2,"",IF(ABS(T150-U150)&gt;=2,"Check",""))</f>
        <v/>
      </c>
    </row>
    <row r="151" customFormat="false" ht="15" hidden="false" customHeight="false" outlineLevel="0" collapsed="false">
      <c r="A151" s="9"/>
      <c r="B151" s="9"/>
      <c r="C151" s="9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1" t="str">
        <f aca="false">IF(COUNTA(A151,D151:S151)=0,"",SUMPRODUCT(--(D151:S151=D$2:S$2)))</f>
        <v/>
      </c>
      <c r="AB151" s="11" t="str">
        <f aca="false">IF(COUNTA(A151,D151:S151)=0,"",SUMPRODUCT((D151:S151=D$2:S$2)*D$3:S$3))</f>
        <v/>
      </c>
      <c r="AC151" s="11" t="str">
        <f aca="false">IF(COUNTA(A151,D151:S151)=0,"",AA151-AB151)</f>
        <v/>
      </c>
      <c r="AD151" s="12" t="str">
        <f aca="false">IF(COUNT(T151:U151)=0,"",AVERAGE(T151:U151))</f>
        <v/>
      </c>
      <c r="AE151" s="12" t="str">
        <f aca="false">IF(COUNT(V151:Z151)=0,"",AVERAGE(V151:Z151))</f>
        <v/>
      </c>
      <c r="AF151" s="11" t="str">
        <f aca="false">IF(COUNT(T151:U151)&lt;2,"",IF(ABS(T151-U151)&gt;=2,"Check",""))</f>
        <v/>
      </c>
    </row>
    <row r="152" customFormat="false" ht="15" hidden="false" customHeight="false" outlineLevel="0" collapsed="false">
      <c r="A152" s="9"/>
      <c r="B152" s="9"/>
      <c r="C152" s="9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1" t="str">
        <f aca="false">IF(COUNTA(A152,D152:S152)=0,"",SUMPRODUCT(--(D152:S152=D$2:S$2)))</f>
        <v/>
      </c>
      <c r="AB152" s="11" t="str">
        <f aca="false">IF(COUNTA(A152,D152:S152)=0,"",SUMPRODUCT((D152:S152=D$2:S$2)*D$3:S$3))</f>
        <v/>
      </c>
      <c r="AC152" s="11" t="str">
        <f aca="false">IF(COUNTA(A152,D152:S152)=0,"",AA152-AB152)</f>
        <v/>
      </c>
      <c r="AD152" s="12" t="str">
        <f aca="false">IF(COUNT(T152:U152)=0,"",AVERAGE(T152:U152))</f>
        <v/>
      </c>
      <c r="AE152" s="12" t="str">
        <f aca="false">IF(COUNT(V152:Z152)=0,"",AVERAGE(V152:Z152))</f>
        <v/>
      </c>
      <c r="AF152" s="11" t="str">
        <f aca="false">IF(COUNT(T152:U152)&lt;2,"",IF(ABS(T152-U152)&gt;=2,"Check",""))</f>
        <v/>
      </c>
    </row>
    <row r="153" customFormat="false" ht="15" hidden="false" customHeight="false" outlineLevel="0" collapsed="false">
      <c r="A153" s="9"/>
      <c r="B153" s="9"/>
      <c r="C153" s="9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1" t="str">
        <f aca="false">IF(COUNTA(A153,D153:S153)=0,"",SUMPRODUCT(--(D153:S153=D$2:S$2)))</f>
        <v/>
      </c>
      <c r="AB153" s="11" t="str">
        <f aca="false">IF(COUNTA(A153,D153:S153)=0,"",SUMPRODUCT((D153:S153=D$2:S$2)*D$3:S$3))</f>
        <v/>
      </c>
      <c r="AC153" s="11" t="str">
        <f aca="false">IF(COUNTA(A153,D153:S153)=0,"",AA153-AB153)</f>
        <v/>
      </c>
      <c r="AD153" s="12" t="str">
        <f aca="false">IF(COUNT(T153:U153)=0,"",AVERAGE(T153:U153))</f>
        <v/>
      </c>
      <c r="AE153" s="12" t="str">
        <f aca="false">IF(COUNT(V153:Z153)=0,"",AVERAGE(V153:Z153))</f>
        <v/>
      </c>
      <c r="AF153" s="11" t="str">
        <f aca="false">IF(COUNT(T153:U153)&lt;2,"",IF(ABS(T153-U153)&gt;=2,"Check",""))</f>
        <v/>
      </c>
    </row>
    <row r="154" customFormat="false" ht="15" hidden="false" customHeight="false" outlineLevel="0" collapsed="false">
      <c r="A154" s="9"/>
      <c r="B154" s="9"/>
      <c r="C154" s="9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1" t="str">
        <f aca="false">IF(COUNTA(A154,D154:S154)=0,"",SUMPRODUCT(--(D154:S154=D$2:S$2)))</f>
        <v/>
      </c>
      <c r="AB154" s="11" t="str">
        <f aca="false">IF(COUNTA(A154,D154:S154)=0,"",SUMPRODUCT((D154:S154=D$2:S$2)*D$3:S$3))</f>
        <v/>
      </c>
      <c r="AC154" s="11" t="str">
        <f aca="false">IF(COUNTA(A154,D154:S154)=0,"",AA154-AB154)</f>
        <v/>
      </c>
      <c r="AD154" s="12" t="str">
        <f aca="false">IF(COUNT(T154:U154)=0,"",AVERAGE(T154:U154))</f>
        <v/>
      </c>
      <c r="AE154" s="12" t="str">
        <f aca="false">IF(COUNT(V154:Z154)=0,"",AVERAGE(V154:Z154))</f>
        <v/>
      </c>
      <c r="AF154" s="11" t="str">
        <f aca="false">IF(COUNT(T154:U154)&lt;2,"",IF(ABS(T154-U154)&gt;=2,"Check",""))</f>
        <v/>
      </c>
    </row>
    <row r="155" customFormat="false" ht="15" hidden="false" customHeight="false" outlineLevel="0" collapsed="false">
      <c r="A155" s="9"/>
      <c r="B155" s="9"/>
      <c r="C155" s="9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1" t="str">
        <f aca="false">IF(COUNTA(A155,D155:S155)=0,"",SUMPRODUCT(--(D155:S155=D$2:S$2)))</f>
        <v/>
      </c>
      <c r="AB155" s="11" t="str">
        <f aca="false">IF(COUNTA(A155,D155:S155)=0,"",SUMPRODUCT((D155:S155=D$2:S$2)*D$3:S$3))</f>
        <v/>
      </c>
      <c r="AC155" s="11" t="str">
        <f aca="false">IF(COUNTA(A155,D155:S155)=0,"",AA155-AB155)</f>
        <v/>
      </c>
      <c r="AD155" s="12" t="str">
        <f aca="false">IF(COUNT(T155:U155)=0,"",AVERAGE(T155:U155))</f>
        <v/>
      </c>
      <c r="AE155" s="12" t="str">
        <f aca="false">IF(COUNT(V155:Z155)=0,"",AVERAGE(V155:Z155))</f>
        <v/>
      </c>
      <c r="AF155" s="11" t="str">
        <f aca="false">IF(COUNT(T155:U155)&lt;2,"",IF(ABS(T155-U155)&gt;=2,"Check",""))</f>
        <v/>
      </c>
    </row>
    <row r="156" customFormat="false" ht="15" hidden="false" customHeight="false" outlineLevel="0" collapsed="false">
      <c r="A156" s="9"/>
      <c r="B156" s="9"/>
      <c r="C156" s="9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1" t="str">
        <f aca="false">IF(COUNTA(A156,D156:S156)=0,"",SUMPRODUCT(--(D156:S156=D$2:S$2)))</f>
        <v/>
      </c>
      <c r="AB156" s="11" t="str">
        <f aca="false">IF(COUNTA(A156,D156:S156)=0,"",SUMPRODUCT((D156:S156=D$2:S$2)*D$3:S$3))</f>
        <v/>
      </c>
      <c r="AC156" s="11" t="str">
        <f aca="false">IF(COUNTA(A156,D156:S156)=0,"",AA156-AB156)</f>
        <v/>
      </c>
      <c r="AD156" s="12" t="str">
        <f aca="false">IF(COUNT(T156:U156)=0,"",AVERAGE(T156:U156))</f>
        <v/>
      </c>
      <c r="AE156" s="12" t="str">
        <f aca="false">IF(COUNT(V156:Z156)=0,"",AVERAGE(V156:Z156))</f>
        <v/>
      </c>
      <c r="AF156" s="11" t="str">
        <f aca="false">IF(COUNT(T156:U156)&lt;2,"",IF(ABS(T156-U156)&gt;=2,"Check",""))</f>
        <v/>
      </c>
    </row>
    <row r="157" customFormat="false" ht="15" hidden="false" customHeight="false" outlineLevel="0" collapsed="false">
      <c r="A157" s="9"/>
      <c r="B157" s="9"/>
      <c r="C157" s="9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1" t="str">
        <f aca="false">IF(COUNTA(A157,D157:S157)=0,"",SUMPRODUCT(--(D157:S157=D$2:S$2)))</f>
        <v/>
      </c>
      <c r="AB157" s="11" t="str">
        <f aca="false">IF(COUNTA(A157,D157:S157)=0,"",SUMPRODUCT((D157:S157=D$2:S$2)*D$3:S$3))</f>
        <v/>
      </c>
      <c r="AC157" s="11" t="str">
        <f aca="false">IF(COUNTA(A157,D157:S157)=0,"",AA157-AB157)</f>
        <v/>
      </c>
      <c r="AD157" s="12" t="str">
        <f aca="false">IF(COUNT(T157:U157)=0,"",AVERAGE(T157:U157))</f>
        <v/>
      </c>
      <c r="AE157" s="12" t="str">
        <f aca="false">IF(COUNT(V157:Z157)=0,"",AVERAGE(V157:Z157))</f>
        <v/>
      </c>
      <c r="AF157" s="11" t="str">
        <f aca="false">IF(COUNT(T157:U157)&lt;2,"",IF(ABS(T157-U157)&gt;=2,"Check",""))</f>
        <v/>
      </c>
    </row>
    <row r="158" customFormat="false" ht="15" hidden="false" customHeight="false" outlineLevel="0" collapsed="false">
      <c r="A158" s="9"/>
      <c r="B158" s="9"/>
      <c r="C158" s="9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1" t="str">
        <f aca="false">IF(COUNTA(A158,D158:S158)=0,"",SUMPRODUCT(--(D158:S158=D$2:S$2)))</f>
        <v/>
      </c>
      <c r="AB158" s="11" t="str">
        <f aca="false">IF(COUNTA(A158,D158:S158)=0,"",SUMPRODUCT((D158:S158=D$2:S$2)*D$3:S$3))</f>
        <v/>
      </c>
      <c r="AC158" s="11" t="str">
        <f aca="false">IF(COUNTA(A158,D158:S158)=0,"",AA158-AB158)</f>
        <v/>
      </c>
      <c r="AD158" s="12" t="str">
        <f aca="false">IF(COUNT(T158:U158)=0,"",AVERAGE(T158:U158))</f>
        <v/>
      </c>
      <c r="AE158" s="12" t="str">
        <f aca="false">IF(COUNT(V158:Z158)=0,"",AVERAGE(V158:Z158))</f>
        <v/>
      </c>
      <c r="AF158" s="11" t="str">
        <f aca="false">IF(COUNT(T158:U158)&lt;2,"",IF(ABS(T158-U158)&gt;=2,"Check",""))</f>
        <v/>
      </c>
    </row>
    <row r="159" customFormat="false" ht="15" hidden="false" customHeight="false" outlineLevel="0" collapsed="false">
      <c r="A159" s="9"/>
      <c r="B159" s="9"/>
      <c r="C159" s="9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1" t="str">
        <f aca="false">IF(COUNTA(A159,D159:S159)=0,"",SUMPRODUCT(--(D159:S159=D$2:S$2)))</f>
        <v/>
      </c>
      <c r="AB159" s="11" t="str">
        <f aca="false">IF(COUNTA(A159,D159:S159)=0,"",SUMPRODUCT((D159:S159=D$2:S$2)*D$3:S$3))</f>
        <v/>
      </c>
      <c r="AC159" s="11" t="str">
        <f aca="false">IF(COUNTA(A159,D159:S159)=0,"",AA159-AB159)</f>
        <v/>
      </c>
      <c r="AD159" s="12" t="str">
        <f aca="false">IF(COUNT(T159:U159)=0,"",AVERAGE(T159:U159))</f>
        <v/>
      </c>
      <c r="AE159" s="12" t="str">
        <f aca="false">IF(COUNT(V159:Z159)=0,"",AVERAGE(V159:Z159))</f>
        <v/>
      </c>
      <c r="AF159" s="11" t="str">
        <f aca="false">IF(COUNT(T159:U159)&lt;2,"",IF(ABS(T159-U159)&gt;=2,"Check",""))</f>
        <v/>
      </c>
    </row>
    <row r="160" customFormat="false" ht="15" hidden="false" customHeight="false" outlineLevel="0" collapsed="false">
      <c r="A160" s="9"/>
      <c r="B160" s="9"/>
      <c r="C160" s="9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1" t="str">
        <f aca="false">IF(COUNTA(A160,D160:S160)=0,"",SUMPRODUCT(--(D160:S160=D$2:S$2)))</f>
        <v/>
      </c>
      <c r="AB160" s="11" t="str">
        <f aca="false">IF(COUNTA(A160,D160:S160)=0,"",SUMPRODUCT((D160:S160=D$2:S$2)*D$3:S$3))</f>
        <v/>
      </c>
      <c r="AC160" s="11" t="str">
        <f aca="false">IF(COUNTA(A160,D160:S160)=0,"",AA160-AB160)</f>
        <v/>
      </c>
      <c r="AD160" s="12" t="str">
        <f aca="false">IF(COUNT(T160:U160)=0,"",AVERAGE(T160:U160))</f>
        <v/>
      </c>
      <c r="AE160" s="12" t="str">
        <f aca="false">IF(COUNT(V160:Z160)=0,"",AVERAGE(V160:Z160))</f>
        <v/>
      </c>
      <c r="AF160" s="11" t="str">
        <f aca="false">IF(COUNT(T160:U160)&lt;2,"",IF(ABS(T160-U160)&gt;=2,"Check",""))</f>
        <v/>
      </c>
    </row>
    <row r="161" customFormat="false" ht="15" hidden="false" customHeight="false" outlineLevel="0" collapsed="false">
      <c r="A161" s="9"/>
      <c r="B161" s="9"/>
      <c r="C161" s="9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1" t="str">
        <f aca="false">IF(COUNTA(A161,D161:S161)=0,"",SUMPRODUCT(--(D161:S161=D$2:S$2)))</f>
        <v/>
      </c>
      <c r="AB161" s="11" t="str">
        <f aca="false">IF(COUNTA(A161,D161:S161)=0,"",SUMPRODUCT((D161:S161=D$2:S$2)*D$3:S$3))</f>
        <v/>
      </c>
      <c r="AC161" s="11" t="str">
        <f aca="false">IF(COUNTA(A161,D161:S161)=0,"",AA161-AB161)</f>
        <v/>
      </c>
      <c r="AD161" s="12" t="str">
        <f aca="false">IF(COUNT(T161:U161)=0,"",AVERAGE(T161:U161))</f>
        <v/>
      </c>
      <c r="AE161" s="12" t="str">
        <f aca="false">IF(COUNT(V161:Z161)=0,"",AVERAGE(V161:Z161))</f>
        <v/>
      </c>
      <c r="AF161" s="11" t="str">
        <f aca="false">IF(COUNT(T161:U161)&lt;2,"",IF(ABS(T161-U161)&gt;=2,"Check",""))</f>
        <v/>
      </c>
    </row>
    <row r="162" customFormat="false" ht="15" hidden="false" customHeight="false" outlineLevel="0" collapsed="false">
      <c r="A162" s="9"/>
      <c r="B162" s="9"/>
      <c r="C162" s="9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1" t="str">
        <f aca="false">IF(COUNTA(A162,D162:S162)=0,"",SUMPRODUCT(--(D162:S162=D$2:S$2)))</f>
        <v/>
      </c>
      <c r="AB162" s="11" t="str">
        <f aca="false">IF(COUNTA(A162,D162:S162)=0,"",SUMPRODUCT((D162:S162=D$2:S$2)*D$3:S$3))</f>
        <v/>
      </c>
      <c r="AC162" s="11" t="str">
        <f aca="false">IF(COUNTA(A162,D162:S162)=0,"",AA162-AB162)</f>
        <v/>
      </c>
      <c r="AD162" s="12" t="str">
        <f aca="false">IF(COUNT(T162:U162)=0,"",AVERAGE(T162:U162))</f>
        <v/>
      </c>
      <c r="AE162" s="12" t="str">
        <f aca="false">IF(COUNT(V162:Z162)=0,"",AVERAGE(V162:Z162))</f>
        <v/>
      </c>
      <c r="AF162" s="11" t="str">
        <f aca="false">IF(COUNT(T162:U162)&lt;2,"",IF(ABS(T162-U162)&gt;=2,"Check",""))</f>
        <v/>
      </c>
    </row>
    <row r="163" customFormat="false" ht="15" hidden="false" customHeight="false" outlineLevel="0" collapsed="false">
      <c r="A163" s="9"/>
      <c r="B163" s="9"/>
      <c r="C163" s="9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1" t="str">
        <f aca="false">IF(COUNTA(A163,D163:S163)=0,"",SUMPRODUCT(--(D163:S163=D$2:S$2)))</f>
        <v/>
      </c>
      <c r="AB163" s="11" t="str">
        <f aca="false">IF(COUNTA(A163,D163:S163)=0,"",SUMPRODUCT((D163:S163=D$2:S$2)*D$3:S$3))</f>
        <v/>
      </c>
      <c r="AC163" s="11" t="str">
        <f aca="false">IF(COUNTA(A163,D163:S163)=0,"",AA163-AB163)</f>
        <v/>
      </c>
      <c r="AD163" s="12" t="str">
        <f aca="false">IF(COUNT(T163:U163)=0,"",AVERAGE(T163:U163))</f>
        <v/>
      </c>
      <c r="AE163" s="12" t="str">
        <f aca="false">IF(COUNT(V163:Z163)=0,"",AVERAGE(V163:Z163))</f>
        <v/>
      </c>
      <c r="AF163" s="11" t="str">
        <f aca="false">IF(COUNT(T163:U163)&lt;2,"",IF(ABS(T163-U163)&gt;=2,"Check",""))</f>
        <v/>
      </c>
    </row>
    <row r="164" customFormat="false" ht="15" hidden="false" customHeight="false" outlineLevel="0" collapsed="false">
      <c r="A164" s="9"/>
      <c r="B164" s="9"/>
      <c r="C164" s="9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1" t="str">
        <f aca="false">IF(COUNTA(A164,D164:S164)=0,"",SUMPRODUCT(--(D164:S164=D$2:S$2)))</f>
        <v/>
      </c>
      <c r="AB164" s="11" t="str">
        <f aca="false">IF(COUNTA(A164,D164:S164)=0,"",SUMPRODUCT((D164:S164=D$2:S$2)*D$3:S$3))</f>
        <v/>
      </c>
      <c r="AC164" s="11" t="str">
        <f aca="false">IF(COUNTA(A164,D164:S164)=0,"",AA164-AB164)</f>
        <v/>
      </c>
      <c r="AD164" s="12" t="str">
        <f aca="false">IF(COUNT(T164:U164)=0,"",AVERAGE(T164:U164))</f>
        <v/>
      </c>
      <c r="AE164" s="12" t="str">
        <f aca="false">IF(COUNT(V164:Z164)=0,"",AVERAGE(V164:Z164))</f>
        <v/>
      </c>
      <c r="AF164" s="11" t="str">
        <f aca="false">IF(COUNT(T164:U164)&lt;2,"",IF(ABS(T164-U164)&gt;=2,"Check",""))</f>
        <v/>
      </c>
    </row>
    <row r="165" customFormat="false" ht="15" hidden="false" customHeight="false" outlineLevel="0" collapsed="false">
      <c r="A165" s="9"/>
      <c r="B165" s="9"/>
      <c r="C165" s="9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1" t="str">
        <f aca="false">IF(COUNTA(A165,D165:S165)=0,"",SUMPRODUCT(--(D165:S165=D$2:S$2)))</f>
        <v/>
      </c>
      <c r="AB165" s="11" t="str">
        <f aca="false">IF(COUNTA(A165,D165:S165)=0,"",SUMPRODUCT((D165:S165=D$2:S$2)*D$3:S$3))</f>
        <v/>
      </c>
      <c r="AC165" s="11" t="str">
        <f aca="false">IF(COUNTA(A165,D165:S165)=0,"",AA165-AB165)</f>
        <v/>
      </c>
      <c r="AD165" s="12" t="str">
        <f aca="false">IF(COUNT(T165:U165)=0,"",AVERAGE(T165:U165))</f>
        <v/>
      </c>
      <c r="AE165" s="12" t="str">
        <f aca="false">IF(COUNT(V165:Z165)=0,"",AVERAGE(V165:Z165))</f>
        <v/>
      </c>
      <c r="AF165" s="11" t="str">
        <f aca="false">IF(COUNT(T165:U165)&lt;2,"",IF(ABS(T165-U165)&gt;=2,"Check",""))</f>
        <v/>
      </c>
    </row>
    <row r="166" customFormat="false" ht="15" hidden="false" customHeight="false" outlineLevel="0" collapsed="false">
      <c r="A166" s="9"/>
      <c r="B166" s="9"/>
      <c r="C166" s="9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1" t="str">
        <f aca="false">IF(COUNTA(A166,D166:S166)=0,"",SUMPRODUCT(--(D166:S166=D$2:S$2)))</f>
        <v/>
      </c>
      <c r="AB166" s="11" t="str">
        <f aca="false">IF(COUNTA(A166,D166:S166)=0,"",SUMPRODUCT((D166:S166=D$2:S$2)*D$3:S$3))</f>
        <v/>
      </c>
      <c r="AC166" s="11" t="str">
        <f aca="false">IF(COUNTA(A166,D166:S166)=0,"",AA166-AB166)</f>
        <v/>
      </c>
      <c r="AD166" s="12" t="str">
        <f aca="false">IF(COUNT(T166:U166)=0,"",AVERAGE(T166:U166))</f>
        <v/>
      </c>
      <c r="AE166" s="12" t="str">
        <f aca="false">IF(COUNT(V166:Z166)=0,"",AVERAGE(V166:Z166))</f>
        <v/>
      </c>
      <c r="AF166" s="11" t="str">
        <f aca="false">IF(COUNT(T166:U166)&lt;2,"",IF(ABS(T166-U166)&gt;=2,"Check",""))</f>
        <v/>
      </c>
    </row>
    <row r="167" customFormat="false" ht="15" hidden="false" customHeight="false" outlineLevel="0" collapsed="false">
      <c r="A167" s="9"/>
      <c r="B167" s="9"/>
      <c r="C167" s="9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1" t="str">
        <f aca="false">IF(COUNTA(A167,D167:S167)=0,"",SUMPRODUCT(--(D167:S167=D$2:S$2)))</f>
        <v/>
      </c>
      <c r="AB167" s="11" t="str">
        <f aca="false">IF(COUNTA(A167,D167:S167)=0,"",SUMPRODUCT((D167:S167=D$2:S$2)*D$3:S$3))</f>
        <v/>
      </c>
      <c r="AC167" s="11" t="str">
        <f aca="false">IF(COUNTA(A167,D167:S167)=0,"",AA167-AB167)</f>
        <v/>
      </c>
      <c r="AD167" s="12" t="str">
        <f aca="false">IF(COUNT(T167:U167)=0,"",AVERAGE(T167:U167))</f>
        <v/>
      </c>
      <c r="AE167" s="12" t="str">
        <f aca="false">IF(COUNT(V167:Z167)=0,"",AVERAGE(V167:Z167))</f>
        <v/>
      </c>
      <c r="AF167" s="11" t="str">
        <f aca="false">IF(COUNT(T167:U167)&lt;2,"",IF(ABS(T167-U167)&gt;=2,"Check",""))</f>
        <v/>
      </c>
    </row>
    <row r="168" customFormat="false" ht="15" hidden="false" customHeight="false" outlineLevel="0" collapsed="false">
      <c r="A168" s="9"/>
      <c r="B168" s="9"/>
      <c r="C168" s="9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1" t="str">
        <f aca="false">IF(COUNTA(A168,D168:S168)=0,"",SUMPRODUCT(--(D168:S168=D$2:S$2)))</f>
        <v/>
      </c>
      <c r="AB168" s="11" t="str">
        <f aca="false">IF(COUNTA(A168,D168:S168)=0,"",SUMPRODUCT((D168:S168=D$2:S$2)*D$3:S$3))</f>
        <v/>
      </c>
      <c r="AC168" s="11" t="str">
        <f aca="false">IF(COUNTA(A168,D168:S168)=0,"",AA168-AB168)</f>
        <v/>
      </c>
      <c r="AD168" s="12" t="str">
        <f aca="false">IF(COUNT(T168:U168)=0,"",AVERAGE(T168:U168))</f>
        <v/>
      </c>
      <c r="AE168" s="12" t="str">
        <f aca="false">IF(COUNT(V168:Z168)=0,"",AVERAGE(V168:Z168))</f>
        <v/>
      </c>
      <c r="AF168" s="11" t="str">
        <f aca="false">IF(COUNT(T168:U168)&lt;2,"",IF(ABS(T168-U168)&gt;=2,"Check",""))</f>
        <v/>
      </c>
    </row>
    <row r="169" customFormat="false" ht="15" hidden="false" customHeight="false" outlineLevel="0" collapsed="false">
      <c r="A169" s="9"/>
      <c r="B169" s="9"/>
      <c r="C169" s="9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1" t="str">
        <f aca="false">IF(COUNTA(A169,D169:S169)=0,"",SUMPRODUCT(--(D169:S169=D$2:S$2)))</f>
        <v/>
      </c>
      <c r="AB169" s="11" t="str">
        <f aca="false">IF(COUNTA(A169,D169:S169)=0,"",SUMPRODUCT((D169:S169=D$2:S$2)*D$3:S$3))</f>
        <v/>
      </c>
      <c r="AC169" s="11" t="str">
        <f aca="false">IF(COUNTA(A169,D169:S169)=0,"",AA169-AB169)</f>
        <v/>
      </c>
      <c r="AD169" s="12" t="str">
        <f aca="false">IF(COUNT(T169:U169)=0,"",AVERAGE(T169:U169))</f>
        <v/>
      </c>
      <c r="AE169" s="12" t="str">
        <f aca="false">IF(COUNT(V169:Z169)=0,"",AVERAGE(V169:Z169))</f>
        <v/>
      </c>
      <c r="AF169" s="11" t="str">
        <f aca="false">IF(COUNT(T169:U169)&lt;2,"",IF(ABS(T169-U169)&gt;=2,"Check",""))</f>
        <v/>
      </c>
    </row>
    <row r="170" customFormat="false" ht="15" hidden="false" customHeight="false" outlineLevel="0" collapsed="false">
      <c r="A170" s="9"/>
      <c r="B170" s="9"/>
      <c r="C170" s="9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1" t="str">
        <f aca="false">IF(COUNTA(A170,D170:S170)=0,"",SUMPRODUCT(--(D170:S170=D$2:S$2)))</f>
        <v/>
      </c>
      <c r="AB170" s="11" t="str">
        <f aca="false">IF(COUNTA(A170,D170:S170)=0,"",SUMPRODUCT((D170:S170=D$2:S$2)*D$3:S$3))</f>
        <v/>
      </c>
      <c r="AC170" s="11" t="str">
        <f aca="false">IF(COUNTA(A170,D170:S170)=0,"",AA170-AB170)</f>
        <v/>
      </c>
      <c r="AD170" s="12" t="str">
        <f aca="false">IF(COUNT(T170:U170)=0,"",AVERAGE(T170:U170))</f>
        <v/>
      </c>
      <c r="AE170" s="12" t="str">
        <f aca="false">IF(COUNT(V170:Z170)=0,"",AVERAGE(V170:Z170))</f>
        <v/>
      </c>
      <c r="AF170" s="11" t="str">
        <f aca="false">IF(COUNT(T170:U170)&lt;2,"",IF(ABS(T170-U170)&gt;=2,"Check",""))</f>
        <v/>
      </c>
    </row>
    <row r="171" customFormat="false" ht="15" hidden="false" customHeight="false" outlineLevel="0" collapsed="false">
      <c r="A171" s="9"/>
      <c r="B171" s="9"/>
      <c r="C171" s="9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1" t="str">
        <f aca="false">IF(COUNTA(A171,D171:S171)=0,"",SUMPRODUCT(--(D171:S171=D$2:S$2)))</f>
        <v/>
      </c>
      <c r="AB171" s="11" t="str">
        <f aca="false">IF(COUNTA(A171,D171:S171)=0,"",SUMPRODUCT((D171:S171=D$2:S$2)*D$3:S$3))</f>
        <v/>
      </c>
      <c r="AC171" s="11" t="str">
        <f aca="false">IF(COUNTA(A171,D171:S171)=0,"",AA171-AB171)</f>
        <v/>
      </c>
      <c r="AD171" s="12" t="str">
        <f aca="false">IF(COUNT(T171:U171)=0,"",AVERAGE(T171:U171))</f>
        <v/>
      </c>
      <c r="AE171" s="12" t="str">
        <f aca="false">IF(COUNT(V171:Z171)=0,"",AVERAGE(V171:Z171))</f>
        <v/>
      </c>
      <c r="AF171" s="11" t="str">
        <f aca="false">IF(COUNT(T171:U171)&lt;2,"",IF(ABS(T171-U171)&gt;=2,"Check",""))</f>
        <v/>
      </c>
    </row>
    <row r="172" customFormat="false" ht="15" hidden="false" customHeight="false" outlineLevel="0" collapsed="false">
      <c r="A172" s="9"/>
      <c r="B172" s="9"/>
      <c r="C172" s="9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1" t="str">
        <f aca="false">IF(COUNTA(A172,D172:S172)=0,"",SUMPRODUCT(--(D172:S172=D$2:S$2)))</f>
        <v/>
      </c>
      <c r="AB172" s="11" t="str">
        <f aca="false">IF(COUNTA(A172,D172:S172)=0,"",SUMPRODUCT((D172:S172=D$2:S$2)*D$3:S$3))</f>
        <v/>
      </c>
      <c r="AC172" s="11" t="str">
        <f aca="false">IF(COUNTA(A172,D172:S172)=0,"",AA172-AB172)</f>
        <v/>
      </c>
      <c r="AD172" s="12" t="str">
        <f aca="false">IF(COUNT(T172:U172)=0,"",AVERAGE(T172:U172))</f>
        <v/>
      </c>
      <c r="AE172" s="12" t="str">
        <f aca="false">IF(COUNT(V172:Z172)=0,"",AVERAGE(V172:Z172))</f>
        <v/>
      </c>
      <c r="AF172" s="11" t="str">
        <f aca="false">IF(COUNT(T172:U172)&lt;2,"",IF(ABS(T172-U172)&gt;=2,"Check",""))</f>
        <v/>
      </c>
    </row>
    <row r="173" customFormat="false" ht="15" hidden="false" customHeight="false" outlineLevel="0" collapsed="false">
      <c r="A173" s="9"/>
      <c r="B173" s="9"/>
      <c r="C173" s="9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1" t="str">
        <f aca="false">IF(COUNTA(A173,D173:S173)=0,"",SUMPRODUCT(--(D173:S173=D$2:S$2)))</f>
        <v/>
      </c>
      <c r="AB173" s="11" t="str">
        <f aca="false">IF(COUNTA(A173,D173:S173)=0,"",SUMPRODUCT((D173:S173=D$2:S$2)*D$3:S$3))</f>
        <v/>
      </c>
      <c r="AC173" s="11" t="str">
        <f aca="false">IF(COUNTA(A173,D173:S173)=0,"",AA173-AB173)</f>
        <v/>
      </c>
      <c r="AD173" s="12" t="str">
        <f aca="false">IF(COUNT(T173:U173)=0,"",AVERAGE(T173:U173))</f>
        <v/>
      </c>
      <c r="AE173" s="12" t="str">
        <f aca="false">IF(COUNT(V173:Z173)=0,"",AVERAGE(V173:Z173))</f>
        <v/>
      </c>
      <c r="AF173" s="11" t="str">
        <f aca="false">IF(COUNT(T173:U173)&lt;2,"",IF(ABS(T173-U173)&gt;=2,"Check",""))</f>
        <v/>
      </c>
    </row>
    <row r="174" customFormat="false" ht="15" hidden="false" customHeight="false" outlineLevel="0" collapsed="false">
      <c r="A174" s="9"/>
      <c r="B174" s="9"/>
      <c r="C174" s="9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1" t="str">
        <f aca="false">IF(COUNTA(A174,D174:S174)=0,"",SUMPRODUCT(--(D174:S174=D$2:S$2)))</f>
        <v/>
      </c>
      <c r="AB174" s="11" t="str">
        <f aca="false">IF(COUNTA(A174,D174:S174)=0,"",SUMPRODUCT((D174:S174=D$2:S$2)*D$3:S$3))</f>
        <v/>
      </c>
      <c r="AC174" s="11" t="str">
        <f aca="false">IF(COUNTA(A174,D174:S174)=0,"",AA174-AB174)</f>
        <v/>
      </c>
      <c r="AD174" s="12" t="str">
        <f aca="false">IF(COUNT(T174:U174)=0,"",AVERAGE(T174:U174))</f>
        <v/>
      </c>
      <c r="AE174" s="12" t="str">
        <f aca="false">IF(COUNT(V174:Z174)=0,"",AVERAGE(V174:Z174))</f>
        <v/>
      </c>
      <c r="AF174" s="11" t="str">
        <f aca="false">IF(COUNT(T174:U174)&lt;2,"",IF(ABS(T174-U174)&gt;=2,"Check",""))</f>
        <v/>
      </c>
    </row>
    <row r="175" customFormat="false" ht="15" hidden="false" customHeight="false" outlineLevel="0" collapsed="false">
      <c r="A175" s="9"/>
      <c r="B175" s="9"/>
      <c r="C175" s="9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1" t="str">
        <f aca="false">IF(COUNTA(A175,D175:S175)=0,"",SUMPRODUCT(--(D175:S175=D$2:S$2)))</f>
        <v/>
      </c>
      <c r="AB175" s="11" t="str">
        <f aca="false">IF(COUNTA(A175,D175:S175)=0,"",SUMPRODUCT((D175:S175=D$2:S$2)*D$3:S$3))</f>
        <v/>
      </c>
      <c r="AC175" s="11" t="str">
        <f aca="false">IF(COUNTA(A175,D175:S175)=0,"",AA175-AB175)</f>
        <v/>
      </c>
      <c r="AD175" s="12" t="str">
        <f aca="false">IF(COUNT(T175:U175)=0,"",AVERAGE(T175:U175))</f>
        <v/>
      </c>
      <c r="AE175" s="12" t="str">
        <f aca="false">IF(COUNT(V175:Z175)=0,"",AVERAGE(V175:Z175))</f>
        <v/>
      </c>
      <c r="AF175" s="11" t="str">
        <f aca="false">IF(COUNT(T175:U175)&lt;2,"",IF(ABS(T175-U175)&gt;=2,"Check",""))</f>
        <v/>
      </c>
    </row>
    <row r="176" customFormat="false" ht="15" hidden="false" customHeight="false" outlineLevel="0" collapsed="false">
      <c r="A176" s="9"/>
      <c r="B176" s="9"/>
      <c r="C176" s="9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1" t="str">
        <f aca="false">IF(COUNTA(A176,D176:S176)=0,"",SUMPRODUCT(--(D176:S176=D$2:S$2)))</f>
        <v/>
      </c>
      <c r="AB176" s="11" t="str">
        <f aca="false">IF(COUNTA(A176,D176:S176)=0,"",SUMPRODUCT((D176:S176=D$2:S$2)*D$3:S$3))</f>
        <v/>
      </c>
      <c r="AC176" s="11" t="str">
        <f aca="false">IF(COUNTA(A176,D176:S176)=0,"",AA176-AB176)</f>
        <v/>
      </c>
      <c r="AD176" s="12" t="str">
        <f aca="false">IF(COUNT(T176:U176)=0,"",AVERAGE(T176:U176))</f>
        <v/>
      </c>
      <c r="AE176" s="12" t="str">
        <f aca="false">IF(COUNT(V176:Z176)=0,"",AVERAGE(V176:Z176))</f>
        <v/>
      </c>
      <c r="AF176" s="11" t="str">
        <f aca="false">IF(COUNT(T176:U176)&lt;2,"",IF(ABS(T176-U176)&gt;=2,"Check",""))</f>
        <v/>
      </c>
    </row>
    <row r="177" customFormat="false" ht="15" hidden="false" customHeight="false" outlineLevel="0" collapsed="false">
      <c r="A177" s="9"/>
      <c r="B177" s="9"/>
      <c r="C177" s="9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1" t="str">
        <f aca="false">IF(COUNTA(A177,D177:S177)=0,"",SUMPRODUCT(--(D177:S177=D$2:S$2)))</f>
        <v/>
      </c>
      <c r="AB177" s="11" t="str">
        <f aca="false">IF(COUNTA(A177,D177:S177)=0,"",SUMPRODUCT((D177:S177=D$2:S$2)*D$3:S$3))</f>
        <v/>
      </c>
      <c r="AC177" s="11" t="str">
        <f aca="false">IF(COUNTA(A177,D177:S177)=0,"",AA177-AB177)</f>
        <v/>
      </c>
      <c r="AD177" s="12" t="str">
        <f aca="false">IF(COUNT(T177:U177)=0,"",AVERAGE(T177:U177))</f>
        <v/>
      </c>
      <c r="AE177" s="12" t="str">
        <f aca="false">IF(COUNT(V177:Z177)=0,"",AVERAGE(V177:Z177))</f>
        <v/>
      </c>
      <c r="AF177" s="11" t="str">
        <f aca="false">IF(COUNT(T177:U177)&lt;2,"",IF(ABS(T177-U177)&gt;=2,"Check",""))</f>
        <v/>
      </c>
    </row>
    <row r="178" customFormat="false" ht="15" hidden="false" customHeight="false" outlineLevel="0" collapsed="false">
      <c r="A178" s="9"/>
      <c r="B178" s="9"/>
      <c r="C178" s="9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1" t="str">
        <f aca="false">IF(COUNTA(A178,D178:S178)=0,"",SUMPRODUCT(--(D178:S178=D$2:S$2)))</f>
        <v/>
      </c>
      <c r="AB178" s="11" t="str">
        <f aca="false">IF(COUNTA(A178,D178:S178)=0,"",SUMPRODUCT((D178:S178=D$2:S$2)*D$3:S$3))</f>
        <v/>
      </c>
      <c r="AC178" s="11" t="str">
        <f aca="false">IF(COUNTA(A178,D178:S178)=0,"",AA178-AB178)</f>
        <v/>
      </c>
      <c r="AD178" s="12" t="str">
        <f aca="false">IF(COUNT(T178:U178)=0,"",AVERAGE(T178:U178))</f>
        <v/>
      </c>
      <c r="AE178" s="12" t="str">
        <f aca="false">IF(COUNT(V178:Z178)=0,"",AVERAGE(V178:Z178))</f>
        <v/>
      </c>
      <c r="AF178" s="11" t="str">
        <f aca="false">IF(COUNT(T178:U178)&lt;2,"",IF(ABS(T178-U178)&gt;=2,"Check",""))</f>
        <v/>
      </c>
    </row>
    <row r="179" customFormat="false" ht="15" hidden="false" customHeight="false" outlineLevel="0" collapsed="false">
      <c r="A179" s="9"/>
      <c r="B179" s="9"/>
      <c r="C179" s="9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1" t="str">
        <f aca="false">IF(COUNTA(A179,D179:S179)=0,"",SUMPRODUCT(--(D179:S179=D$2:S$2)))</f>
        <v/>
      </c>
      <c r="AB179" s="11" t="str">
        <f aca="false">IF(COUNTA(A179,D179:S179)=0,"",SUMPRODUCT((D179:S179=D$2:S$2)*D$3:S$3))</f>
        <v/>
      </c>
      <c r="AC179" s="11" t="str">
        <f aca="false">IF(COUNTA(A179,D179:S179)=0,"",AA179-AB179)</f>
        <v/>
      </c>
      <c r="AD179" s="12" t="str">
        <f aca="false">IF(COUNT(T179:U179)=0,"",AVERAGE(T179:U179))</f>
        <v/>
      </c>
      <c r="AE179" s="12" t="str">
        <f aca="false">IF(COUNT(V179:Z179)=0,"",AVERAGE(V179:Z179))</f>
        <v/>
      </c>
      <c r="AF179" s="11" t="str">
        <f aca="false">IF(COUNT(T179:U179)&lt;2,"",IF(ABS(T179-U179)&gt;=2,"Check",""))</f>
        <v/>
      </c>
    </row>
    <row r="180" customFormat="false" ht="15" hidden="false" customHeight="false" outlineLevel="0" collapsed="false">
      <c r="A180" s="9"/>
      <c r="B180" s="9"/>
      <c r="C180" s="9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1" t="str">
        <f aca="false">IF(COUNTA(A180,D180:S180)=0,"",SUMPRODUCT(--(D180:S180=D$2:S$2)))</f>
        <v/>
      </c>
      <c r="AB180" s="11" t="str">
        <f aca="false">IF(COUNTA(A180,D180:S180)=0,"",SUMPRODUCT((D180:S180=D$2:S$2)*D$3:S$3))</f>
        <v/>
      </c>
      <c r="AC180" s="11" t="str">
        <f aca="false">IF(COUNTA(A180,D180:S180)=0,"",AA180-AB180)</f>
        <v/>
      </c>
      <c r="AD180" s="12" t="str">
        <f aca="false">IF(COUNT(T180:U180)=0,"",AVERAGE(T180:U180))</f>
        <v/>
      </c>
      <c r="AE180" s="12" t="str">
        <f aca="false">IF(COUNT(V180:Z180)=0,"",AVERAGE(V180:Z180))</f>
        <v/>
      </c>
      <c r="AF180" s="11" t="str">
        <f aca="false">IF(COUNT(T180:U180)&lt;2,"",IF(ABS(T180-U180)&gt;=2,"Check",""))</f>
        <v/>
      </c>
    </row>
    <row r="181" customFormat="false" ht="15" hidden="false" customHeight="false" outlineLevel="0" collapsed="false">
      <c r="A181" s="9"/>
      <c r="B181" s="9"/>
      <c r="C181" s="9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1" t="str">
        <f aca="false">IF(COUNTA(A181,D181:S181)=0,"",SUMPRODUCT(--(D181:S181=D$2:S$2)))</f>
        <v/>
      </c>
      <c r="AB181" s="11" t="str">
        <f aca="false">IF(COUNTA(A181,D181:S181)=0,"",SUMPRODUCT((D181:S181=D$2:S$2)*D$3:S$3))</f>
        <v/>
      </c>
      <c r="AC181" s="11" t="str">
        <f aca="false">IF(COUNTA(A181,D181:S181)=0,"",AA181-AB181)</f>
        <v/>
      </c>
      <c r="AD181" s="12" t="str">
        <f aca="false">IF(COUNT(T181:U181)=0,"",AVERAGE(T181:U181))</f>
        <v/>
      </c>
      <c r="AE181" s="12" t="str">
        <f aca="false">IF(COUNT(V181:Z181)=0,"",AVERAGE(V181:Z181))</f>
        <v/>
      </c>
      <c r="AF181" s="11" t="str">
        <f aca="false">IF(COUNT(T181:U181)&lt;2,"",IF(ABS(T181-U181)&gt;=2,"Check",""))</f>
        <v/>
      </c>
    </row>
    <row r="182" customFormat="false" ht="15" hidden="false" customHeight="false" outlineLevel="0" collapsed="false">
      <c r="A182" s="9"/>
      <c r="B182" s="9"/>
      <c r="C182" s="9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1" t="str">
        <f aca="false">IF(COUNTA(A182,D182:S182)=0,"",SUMPRODUCT(--(D182:S182=D$2:S$2)))</f>
        <v/>
      </c>
      <c r="AB182" s="11" t="str">
        <f aca="false">IF(COUNTA(A182,D182:S182)=0,"",SUMPRODUCT((D182:S182=D$2:S$2)*D$3:S$3))</f>
        <v/>
      </c>
      <c r="AC182" s="11" t="str">
        <f aca="false">IF(COUNTA(A182,D182:S182)=0,"",AA182-AB182)</f>
        <v/>
      </c>
      <c r="AD182" s="12" t="str">
        <f aca="false">IF(COUNT(T182:U182)=0,"",AVERAGE(T182:U182))</f>
        <v/>
      </c>
      <c r="AE182" s="12" t="str">
        <f aca="false">IF(COUNT(V182:Z182)=0,"",AVERAGE(V182:Z182))</f>
        <v/>
      </c>
      <c r="AF182" s="11" t="str">
        <f aca="false">IF(COUNT(T182:U182)&lt;2,"",IF(ABS(T182-U182)&gt;=2,"Check",""))</f>
        <v/>
      </c>
    </row>
    <row r="183" customFormat="false" ht="15" hidden="false" customHeight="false" outlineLevel="0" collapsed="false">
      <c r="A183" s="9"/>
      <c r="B183" s="9"/>
      <c r="C183" s="9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1" t="str">
        <f aca="false">IF(COUNTA(A183,D183:S183)=0,"",SUMPRODUCT(--(D183:S183=D$2:S$2)))</f>
        <v/>
      </c>
      <c r="AB183" s="11" t="str">
        <f aca="false">IF(COUNTA(A183,D183:S183)=0,"",SUMPRODUCT((D183:S183=D$2:S$2)*D$3:S$3))</f>
        <v/>
      </c>
      <c r="AC183" s="11" t="str">
        <f aca="false">IF(COUNTA(A183,D183:S183)=0,"",AA183-AB183)</f>
        <v/>
      </c>
      <c r="AD183" s="12" t="str">
        <f aca="false">IF(COUNT(T183:U183)=0,"",AVERAGE(T183:U183))</f>
        <v/>
      </c>
      <c r="AE183" s="12" t="str">
        <f aca="false">IF(COUNT(V183:Z183)=0,"",AVERAGE(V183:Z183))</f>
        <v/>
      </c>
      <c r="AF183" s="11" t="str">
        <f aca="false">IF(COUNT(T183:U183)&lt;2,"",IF(ABS(T183-U183)&gt;=2,"Check",""))</f>
        <v/>
      </c>
    </row>
    <row r="184" customFormat="false" ht="15" hidden="false" customHeight="false" outlineLevel="0" collapsed="false">
      <c r="A184" s="9"/>
      <c r="B184" s="9"/>
      <c r="C184" s="9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1" t="str">
        <f aca="false">IF(COUNTA(A184,D184:S184)=0,"",SUMPRODUCT(--(D184:S184=D$2:S$2)))</f>
        <v/>
      </c>
      <c r="AB184" s="11" t="str">
        <f aca="false">IF(COUNTA(A184,D184:S184)=0,"",SUMPRODUCT((D184:S184=D$2:S$2)*D$3:S$3))</f>
        <v/>
      </c>
      <c r="AC184" s="11" t="str">
        <f aca="false">IF(COUNTA(A184,D184:S184)=0,"",AA184-AB184)</f>
        <v/>
      </c>
      <c r="AD184" s="12" t="str">
        <f aca="false">IF(COUNT(T184:U184)=0,"",AVERAGE(T184:U184))</f>
        <v/>
      </c>
      <c r="AE184" s="12" t="str">
        <f aca="false">IF(COUNT(V184:Z184)=0,"",AVERAGE(V184:Z184))</f>
        <v/>
      </c>
      <c r="AF184" s="11" t="str">
        <f aca="false">IF(COUNT(T184:U184)&lt;2,"",IF(ABS(T184-U184)&gt;=2,"Check",""))</f>
        <v/>
      </c>
    </row>
    <row r="185" customFormat="false" ht="15" hidden="false" customHeight="false" outlineLevel="0" collapsed="false">
      <c r="A185" s="9"/>
      <c r="B185" s="9"/>
      <c r="C185" s="9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1" t="str">
        <f aca="false">IF(COUNTA(A185,D185:S185)=0,"",SUMPRODUCT(--(D185:S185=D$2:S$2)))</f>
        <v/>
      </c>
      <c r="AB185" s="11" t="str">
        <f aca="false">IF(COUNTA(A185,D185:S185)=0,"",SUMPRODUCT((D185:S185=D$2:S$2)*D$3:S$3))</f>
        <v/>
      </c>
      <c r="AC185" s="11" t="str">
        <f aca="false">IF(COUNTA(A185,D185:S185)=0,"",AA185-AB185)</f>
        <v/>
      </c>
      <c r="AD185" s="12" t="str">
        <f aca="false">IF(COUNT(T185:U185)=0,"",AVERAGE(T185:U185))</f>
        <v/>
      </c>
      <c r="AE185" s="12" t="str">
        <f aca="false">IF(COUNT(V185:Z185)=0,"",AVERAGE(V185:Z185))</f>
        <v/>
      </c>
      <c r="AF185" s="11" t="str">
        <f aca="false">IF(COUNT(T185:U185)&lt;2,"",IF(ABS(T185-U185)&gt;=2,"Check",""))</f>
        <v/>
      </c>
    </row>
    <row r="186" customFormat="false" ht="15" hidden="false" customHeight="false" outlineLevel="0" collapsed="false">
      <c r="A186" s="9"/>
      <c r="B186" s="9"/>
      <c r="C186" s="9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1" t="str">
        <f aca="false">IF(COUNTA(A186,D186:S186)=0,"",SUMPRODUCT(--(D186:S186=D$2:S$2)))</f>
        <v/>
      </c>
      <c r="AB186" s="11" t="str">
        <f aca="false">IF(COUNTA(A186,D186:S186)=0,"",SUMPRODUCT((D186:S186=D$2:S$2)*D$3:S$3))</f>
        <v/>
      </c>
      <c r="AC186" s="11" t="str">
        <f aca="false">IF(COUNTA(A186,D186:S186)=0,"",AA186-AB186)</f>
        <v/>
      </c>
      <c r="AD186" s="12" t="str">
        <f aca="false">IF(COUNT(T186:U186)=0,"",AVERAGE(T186:U186))</f>
        <v/>
      </c>
      <c r="AE186" s="12" t="str">
        <f aca="false">IF(COUNT(V186:Z186)=0,"",AVERAGE(V186:Z186))</f>
        <v/>
      </c>
      <c r="AF186" s="11" t="str">
        <f aca="false">IF(COUNT(T186:U186)&lt;2,"",IF(ABS(T186-U186)&gt;=2,"Check",""))</f>
        <v/>
      </c>
    </row>
    <row r="187" customFormat="false" ht="15" hidden="false" customHeight="false" outlineLevel="0" collapsed="false">
      <c r="A187" s="9"/>
      <c r="B187" s="9"/>
      <c r="C187" s="9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1" t="str">
        <f aca="false">IF(COUNTA(A187,D187:S187)=0,"",SUMPRODUCT(--(D187:S187=D$2:S$2)))</f>
        <v/>
      </c>
      <c r="AB187" s="11" t="str">
        <f aca="false">IF(COUNTA(A187,D187:S187)=0,"",SUMPRODUCT((D187:S187=D$2:S$2)*D$3:S$3))</f>
        <v/>
      </c>
      <c r="AC187" s="11" t="str">
        <f aca="false">IF(COUNTA(A187,D187:S187)=0,"",AA187-AB187)</f>
        <v/>
      </c>
      <c r="AD187" s="12" t="str">
        <f aca="false">IF(COUNT(T187:U187)=0,"",AVERAGE(T187:U187))</f>
        <v/>
      </c>
      <c r="AE187" s="12" t="str">
        <f aca="false">IF(COUNT(V187:Z187)=0,"",AVERAGE(V187:Z187))</f>
        <v/>
      </c>
      <c r="AF187" s="11" t="str">
        <f aca="false">IF(COUNT(T187:U187)&lt;2,"",IF(ABS(T187-U187)&gt;=2,"Check",""))</f>
        <v/>
      </c>
    </row>
    <row r="188" customFormat="false" ht="15" hidden="false" customHeight="false" outlineLevel="0" collapsed="false">
      <c r="A188" s="9"/>
      <c r="B188" s="9"/>
      <c r="C188" s="9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1" t="str">
        <f aca="false">IF(COUNTA(A188,D188:S188)=0,"",SUMPRODUCT(--(D188:S188=D$2:S$2)))</f>
        <v/>
      </c>
      <c r="AB188" s="11" t="str">
        <f aca="false">IF(COUNTA(A188,D188:S188)=0,"",SUMPRODUCT((D188:S188=D$2:S$2)*D$3:S$3))</f>
        <v/>
      </c>
      <c r="AC188" s="11" t="str">
        <f aca="false">IF(COUNTA(A188,D188:S188)=0,"",AA188-AB188)</f>
        <v/>
      </c>
      <c r="AD188" s="12" t="str">
        <f aca="false">IF(COUNT(T188:U188)=0,"",AVERAGE(T188:U188))</f>
        <v/>
      </c>
      <c r="AE188" s="12" t="str">
        <f aca="false">IF(COUNT(V188:Z188)=0,"",AVERAGE(V188:Z188))</f>
        <v/>
      </c>
      <c r="AF188" s="11" t="str">
        <f aca="false">IF(COUNT(T188:U188)&lt;2,"",IF(ABS(T188-U188)&gt;=2,"Check",""))</f>
        <v/>
      </c>
    </row>
    <row r="189" customFormat="false" ht="15" hidden="false" customHeight="false" outlineLevel="0" collapsed="false">
      <c r="A189" s="9"/>
      <c r="B189" s="9"/>
      <c r="C189" s="9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1" t="str">
        <f aca="false">IF(COUNTA(A189,D189:S189)=0,"",SUMPRODUCT(--(D189:S189=D$2:S$2)))</f>
        <v/>
      </c>
      <c r="AB189" s="11" t="str">
        <f aca="false">IF(COUNTA(A189,D189:S189)=0,"",SUMPRODUCT((D189:S189=D$2:S$2)*D$3:S$3))</f>
        <v/>
      </c>
      <c r="AC189" s="11" t="str">
        <f aca="false">IF(COUNTA(A189,D189:S189)=0,"",AA189-AB189)</f>
        <v/>
      </c>
      <c r="AD189" s="12" t="str">
        <f aca="false">IF(COUNT(T189:U189)=0,"",AVERAGE(T189:U189))</f>
        <v/>
      </c>
      <c r="AE189" s="12" t="str">
        <f aca="false">IF(COUNT(V189:Z189)=0,"",AVERAGE(V189:Z189))</f>
        <v/>
      </c>
      <c r="AF189" s="11" t="str">
        <f aca="false">IF(COUNT(T189:U189)&lt;2,"",IF(ABS(T189-U189)&gt;=2,"Check",""))</f>
        <v/>
      </c>
    </row>
    <row r="190" customFormat="false" ht="15" hidden="false" customHeight="false" outlineLevel="0" collapsed="false">
      <c r="A190" s="9"/>
      <c r="B190" s="9"/>
      <c r="C190" s="9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1" t="str">
        <f aca="false">IF(COUNTA(A190,D190:S190)=0,"",SUMPRODUCT(--(D190:S190=D$2:S$2)))</f>
        <v/>
      </c>
      <c r="AB190" s="11" t="str">
        <f aca="false">IF(COUNTA(A190,D190:S190)=0,"",SUMPRODUCT((D190:S190=D$2:S$2)*D$3:S$3))</f>
        <v/>
      </c>
      <c r="AC190" s="11" t="str">
        <f aca="false">IF(COUNTA(A190,D190:S190)=0,"",AA190-AB190)</f>
        <v/>
      </c>
      <c r="AD190" s="12" t="str">
        <f aca="false">IF(COUNT(T190:U190)=0,"",AVERAGE(T190:U190))</f>
        <v/>
      </c>
      <c r="AE190" s="12" t="str">
        <f aca="false">IF(COUNT(V190:Z190)=0,"",AVERAGE(V190:Z190))</f>
        <v/>
      </c>
      <c r="AF190" s="11" t="str">
        <f aca="false">IF(COUNT(T190:U190)&lt;2,"",IF(ABS(T190-U190)&gt;=2,"Check",""))</f>
        <v/>
      </c>
    </row>
    <row r="191" customFormat="false" ht="15" hidden="false" customHeight="false" outlineLevel="0" collapsed="false">
      <c r="A191" s="9"/>
      <c r="B191" s="9"/>
      <c r="C191" s="9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1" t="str">
        <f aca="false">IF(COUNTA(A191,D191:S191)=0,"",SUMPRODUCT(--(D191:S191=D$2:S$2)))</f>
        <v/>
      </c>
      <c r="AB191" s="11" t="str">
        <f aca="false">IF(COUNTA(A191,D191:S191)=0,"",SUMPRODUCT((D191:S191=D$2:S$2)*D$3:S$3))</f>
        <v/>
      </c>
      <c r="AC191" s="11" t="str">
        <f aca="false">IF(COUNTA(A191,D191:S191)=0,"",AA191-AB191)</f>
        <v/>
      </c>
      <c r="AD191" s="12" t="str">
        <f aca="false">IF(COUNT(T191:U191)=0,"",AVERAGE(T191:U191))</f>
        <v/>
      </c>
      <c r="AE191" s="12" t="str">
        <f aca="false">IF(COUNT(V191:Z191)=0,"",AVERAGE(V191:Z191))</f>
        <v/>
      </c>
      <c r="AF191" s="11" t="str">
        <f aca="false">IF(COUNT(T191:U191)&lt;2,"",IF(ABS(T191-U191)&gt;=2,"Check",""))</f>
        <v/>
      </c>
    </row>
    <row r="192" customFormat="false" ht="15" hidden="false" customHeight="false" outlineLevel="0" collapsed="false">
      <c r="A192" s="9"/>
      <c r="B192" s="9"/>
      <c r="C192" s="9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1" t="str">
        <f aca="false">IF(COUNTA(A192,D192:S192)=0,"",SUMPRODUCT(--(D192:S192=D$2:S$2)))</f>
        <v/>
      </c>
      <c r="AB192" s="11" t="str">
        <f aca="false">IF(COUNTA(A192,D192:S192)=0,"",SUMPRODUCT((D192:S192=D$2:S$2)*D$3:S$3))</f>
        <v/>
      </c>
      <c r="AC192" s="11" t="str">
        <f aca="false">IF(COUNTA(A192,D192:S192)=0,"",AA192-AB192)</f>
        <v/>
      </c>
      <c r="AD192" s="12" t="str">
        <f aca="false">IF(COUNT(T192:U192)=0,"",AVERAGE(T192:U192))</f>
        <v/>
      </c>
      <c r="AE192" s="12" t="str">
        <f aca="false">IF(COUNT(V192:Z192)=0,"",AVERAGE(V192:Z192))</f>
        <v/>
      </c>
      <c r="AF192" s="11" t="str">
        <f aca="false">IF(COUNT(T192:U192)&lt;2,"",IF(ABS(T192-U192)&gt;=2,"Check",""))</f>
        <v/>
      </c>
    </row>
    <row r="193" customFormat="false" ht="15" hidden="false" customHeight="false" outlineLevel="0" collapsed="false">
      <c r="A193" s="9"/>
      <c r="B193" s="9"/>
      <c r="C193" s="9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1" t="str">
        <f aca="false">IF(COUNTA(A193,D193:S193)=0,"",SUMPRODUCT(--(D193:S193=D$2:S$2)))</f>
        <v/>
      </c>
      <c r="AB193" s="11" t="str">
        <f aca="false">IF(COUNTA(A193,D193:S193)=0,"",SUMPRODUCT((D193:S193=D$2:S$2)*D$3:S$3))</f>
        <v/>
      </c>
      <c r="AC193" s="11" t="str">
        <f aca="false">IF(COUNTA(A193,D193:S193)=0,"",AA193-AB193)</f>
        <v/>
      </c>
      <c r="AD193" s="12" t="str">
        <f aca="false">IF(COUNT(T193:U193)=0,"",AVERAGE(T193:U193))</f>
        <v/>
      </c>
      <c r="AE193" s="12" t="str">
        <f aca="false">IF(COUNT(V193:Z193)=0,"",AVERAGE(V193:Z193))</f>
        <v/>
      </c>
      <c r="AF193" s="11" t="str">
        <f aca="false">IF(COUNT(T193:U193)&lt;2,"",IF(ABS(T193-U193)&gt;=2,"Check",""))</f>
        <v/>
      </c>
    </row>
    <row r="194" customFormat="false" ht="15" hidden="false" customHeight="false" outlineLevel="0" collapsed="false">
      <c r="A194" s="9"/>
      <c r="B194" s="9"/>
      <c r="C194" s="9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1" t="str">
        <f aca="false">IF(COUNTA(A194,D194:S194)=0,"",SUMPRODUCT(--(D194:S194=D$2:S$2)))</f>
        <v/>
      </c>
      <c r="AB194" s="11" t="str">
        <f aca="false">IF(COUNTA(A194,D194:S194)=0,"",SUMPRODUCT((D194:S194=D$2:S$2)*D$3:S$3))</f>
        <v/>
      </c>
      <c r="AC194" s="11" t="str">
        <f aca="false">IF(COUNTA(A194,D194:S194)=0,"",AA194-AB194)</f>
        <v/>
      </c>
      <c r="AD194" s="12" t="str">
        <f aca="false">IF(COUNT(T194:U194)=0,"",AVERAGE(T194:U194))</f>
        <v/>
      </c>
      <c r="AE194" s="12" t="str">
        <f aca="false">IF(COUNT(V194:Z194)=0,"",AVERAGE(V194:Z194))</f>
        <v/>
      </c>
      <c r="AF194" s="11" t="str">
        <f aca="false">IF(COUNT(T194:U194)&lt;2,"",IF(ABS(T194-U194)&gt;=2,"Check",""))</f>
        <v/>
      </c>
    </row>
    <row r="195" customFormat="false" ht="15" hidden="false" customHeight="false" outlineLevel="0" collapsed="false">
      <c r="A195" s="9"/>
      <c r="B195" s="9"/>
      <c r="C195" s="9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1" t="str">
        <f aca="false">IF(COUNTA(A195,D195:S195)=0,"",SUMPRODUCT(--(D195:S195=D$2:S$2)))</f>
        <v/>
      </c>
      <c r="AB195" s="11" t="str">
        <f aca="false">IF(COUNTA(A195,D195:S195)=0,"",SUMPRODUCT((D195:S195=D$2:S$2)*D$3:S$3))</f>
        <v/>
      </c>
      <c r="AC195" s="11" t="str">
        <f aca="false">IF(COUNTA(A195,D195:S195)=0,"",AA195-AB195)</f>
        <v/>
      </c>
      <c r="AD195" s="12" t="str">
        <f aca="false">IF(COUNT(T195:U195)=0,"",AVERAGE(T195:U195))</f>
        <v/>
      </c>
      <c r="AE195" s="12" t="str">
        <f aca="false">IF(COUNT(V195:Z195)=0,"",AVERAGE(V195:Z195))</f>
        <v/>
      </c>
      <c r="AF195" s="11" t="str">
        <f aca="false">IF(COUNT(T195:U195)&lt;2,"",IF(ABS(T195-U195)&gt;=2,"Check",""))</f>
        <v/>
      </c>
    </row>
    <row r="196" customFormat="false" ht="15" hidden="false" customHeight="false" outlineLevel="0" collapsed="false">
      <c r="A196" s="9"/>
      <c r="B196" s="9"/>
      <c r="C196" s="9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1" t="str">
        <f aca="false">IF(COUNTA(A196,D196:S196)=0,"",SUMPRODUCT(--(D196:S196=D$2:S$2)))</f>
        <v/>
      </c>
      <c r="AB196" s="11" t="str">
        <f aca="false">IF(COUNTA(A196,D196:S196)=0,"",SUMPRODUCT((D196:S196=D$2:S$2)*D$3:S$3))</f>
        <v/>
      </c>
      <c r="AC196" s="11" t="str">
        <f aca="false">IF(COUNTA(A196,D196:S196)=0,"",AA196-AB196)</f>
        <v/>
      </c>
      <c r="AD196" s="12" t="str">
        <f aca="false">IF(COUNT(T196:U196)=0,"",AVERAGE(T196:U196))</f>
        <v/>
      </c>
      <c r="AE196" s="12" t="str">
        <f aca="false">IF(COUNT(V196:Z196)=0,"",AVERAGE(V196:Z196))</f>
        <v/>
      </c>
      <c r="AF196" s="11" t="str">
        <f aca="false">IF(COUNT(T196:U196)&lt;2,"",IF(ABS(T196-U196)&gt;=2,"Check",""))</f>
        <v/>
      </c>
    </row>
    <row r="197" customFormat="false" ht="15" hidden="false" customHeight="false" outlineLevel="0" collapsed="false">
      <c r="A197" s="9"/>
      <c r="B197" s="9"/>
      <c r="C197" s="9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1" t="str">
        <f aca="false">IF(COUNTA(A197,D197:S197)=0,"",SUMPRODUCT(--(D197:S197=D$2:S$2)))</f>
        <v/>
      </c>
      <c r="AB197" s="11" t="str">
        <f aca="false">IF(COUNTA(A197,D197:S197)=0,"",SUMPRODUCT((D197:S197=D$2:S$2)*D$3:S$3))</f>
        <v/>
      </c>
      <c r="AC197" s="11" t="str">
        <f aca="false">IF(COUNTA(A197,D197:S197)=0,"",AA197-AB197)</f>
        <v/>
      </c>
      <c r="AD197" s="12" t="str">
        <f aca="false">IF(COUNT(T197:U197)=0,"",AVERAGE(T197:U197))</f>
        <v/>
      </c>
      <c r="AE197" s="12" t="str">
        <f aca="false">IF(COUNT(V197:Z197)=0,"",AVERAGE(V197:Z197))</f>
        <v/>
      </c>
      <c r="AF197" s="11" t="str">
        <f aca="false">IF(COUNT(T197:U197)&lt;2,"",IF(ABS(T197-U197)&gt;=2,"Check",""))</f>
        <v/>
      </c>
    </row>
    <row r="198" customFormat="false" ht="15" hidden="false" customHeight="false" outlineLevel="0" collapsed="false">
      <c r="A198" s="9"/>
      <c r="B198" s="9"/>
      <c r="C198" s="9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1" t="str">
        <f aca="false">IF(COUNTA(A198,D198:S198)=0,"",SUMPRODUCT(--(D198:S198=D$2:S$2)))</f>
        <v/>
      </c>
      <c r="AB198" s="11" t="str">
        <f aca="false">IF(COUNTA(A198,D198:S198)=0,"",SUMPRODUCT((D198:S198=D$2:S$2)*D$3:S$3))</f>
        <v/>
      </c>
      <c r="AC198" s="11" t="str">
        <f aca="false">IF(COUNTA(A198,D198:S198)=0,"",AA198-AB198)</f>
        <v/>
      </c>
      <c r="AD198" s="12" t="str">
        <f aca="false">IF(COUNT(T198:U198)=0,"",AVERAGE(T198:U198))</f>
        <v/>
      </c>
      <c r="AE198" s="12" t="str">
        <f aca="false">IF(COUNT(V198:Z198)=0,"",AVERAGE(V198:Z198))</f>
        <v/>
      </c>
      <c r="AF198" s="11" t="str">
        <f aca="false">IF(COUNT(T198:U198)&lt;2,"",IF(ABS(T198-U198)&gt;=2,"Check",""))</f>
        <v/>
      </c>
    </row>
    <row r="199" customFormat="false" ht="15" hidden="false" customHeight="false" outlineLevel="0" collapsed="false">
      <c r="A199" s="9"/>
      <c r="B199" s="9"/>
      <c r="C199" s="9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1" t="str">
        <f aca="false">IF(COUNTA(A199,D199:S199)=0,"",SUMPRODUCT(--(D199:S199=D$2:S$2)))</f>
        <v/>
      </c>
      <c r="AB199" s="11" t="str">
        <f aca="false">IF(COUNTA(A199,D199:S199)=0,"",SUMPRODUCT((D199:S199=D$2:S$2)*D$3:S$3))</f>
        <v/>
      </c>
      <c r="AC199" s="11" t="str">
        <f aca="false">IF(COUNTA(A199,D199:S199)=0,"",AA199-AB199)</f>
        <v/>
      </c>
      <c r="AD199" s="12" t="str">
        <f aca="false">IF(COUNT(T199:U199)=0,"",AVERAGE(T199:U199))</f>
        <v/>
      </c>
      <c r="AE199" s="12" t="str">
        <f aca="false">IF(COUNT(V199:Z199)=0,"",AVERAGE(V199:Z199))</f>
        <v/>
      </c>
      <c r="AF199" s="11" t="str">
        <f aca="false">IF(COUNT(T199:U199)&lt;2,"",IF(ABS(T199-U199)&gt;=2,"Check",""))</f>
        <v/>
      </c>
    </row>
    <row r="200" customFormat="false" ht="15" hidden="false" customHeight="false" outlineLevel="0" collapsed="false">
      <c r="A200" s="9"/>
      <c r="B200" s="9"/>
      <c r="C200" s="9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1" t="str">
        <f aca="false">IF(COUNTA(A200,D200:S200)=0,"",SUMPRODUCT(--(D200:S200=D$2:S$2)))</f>
        <v/>
      </c>
      <c r="AB200" s="11" t="str">
        <f aca="false">IF(COUNTA(A200,D200:S200)=0,"",SUMPRODUCT((D200:S200=D$2:S$2)*D$3:S$3))</f>
        <v/>
      </c>
      <c r="AC200" s="11" t="str">
        <f aca="false">IF(COUNTA(A200,D200:S200)=0,"",AA200-AB200)</f>
        <v/>
      </c>
      <c r="AD200" s="12" t="str">
        <f aca="false">IF(COUNT(T200:U200)=0,"",AVERAGE(T200:U200))</f>
        <v/>
      </c>
      <c r="AE200" s="12" t="str">
        <f aca="false">IF(COUNT(V200:Z200)=0,"",AVERAGE(V200:Z200))</f>
        <v/>
      </c>
      <c r="AF200" s="11" t="str">
        <f aca="false">IF(COUNT(T200:U200)&lt;2,"",IF(ABS(T200-U200)&gt;=2,"Check",""))</f>
        <v/>
      </c>
    </row>
    <row r="201" customFormat="false" ht="15" hidden="false" customHeight="false" outlineLevel="0" collapsed="false">
      <c r="A201" s="9"/>
      <c r="B201" s="9"/>
      <c r="C201" s="9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1" t="str">
        <f aca="false">IF(COUNTA(A201,D201:S201)=0,"",SUMPRODUCT(--(D201:S201=D$2:S$2)))</f>
        <v/>
      </c>
      <c r="AB201" s="11" t="str">
        <f aca="false">IF(COUNTA(A201,D201:S201)=0,"",SUMPRODUCT((D201:S201=D$2:S$2)*D$3:S$3))</f>
        <v/>
      </c>
      <c r="AC201" s="11" t="str">
        <f aca="false">IF(COUNTA(A201,D201:S201)=0,"",AA201-AB201)</f>
        <v/>
      </c>
      <c r="AD201" s="12" t="str">
        <f aca="false">IF(COUNT(T201:U201)=0,"",AVERAGE(T201:U201))</f>
        <v/>
      </c>
      <c r="AE201" s="12" t="str">
        <f aca="false">IF(COUNT(V201:Z201)=0,"",AVERAGE(V201:Z201))</f>
        <v/>
      </c>
      <c r="AF201" s="11" t="str">
        <f aca="false">IF(COUNT(T201:U201)&lt;2,"",IF(ABS(T201-U201)&gt;=2,"Check",""))</f>
        <v/>
      </c>
    </row>
    <row r="202" customFormat="false" ht="15" hidden="false" customHeight="false" outlineLevel="0" collapsed="false">
      <c r="A202" s="9"/>
      <c r="B202" s="9"/>
      <c r="C202" s="9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1" t="str">
        <f aca="false">IF(COUNTA(A202,D202:S202)=0,"",SUMPRODUCT(--(D202:S202=D$2:S$2)))</f>
        <v/>
      </c>
      <c r="AB202" s="11" t="str">
        <f aca="false">IF(COUNTA(A202,D202:S202)=0,"",SUMPRODUCT((D202:S202=D$2:S$2)*D$3:S$3))</f>
        <v/>
      </c>
      <c r="AC202" s="11" t="str">
        <f aca="false">IF(COUNTA(A202,D202:S202)=0,"",AA202-AB202)</f>
        <v/>
      </c>
      <c r="AD202" s="12" t="str">
        <f aca="false">IF(COUNT(T202:U202)=0,"",AVERAGE(T202:U202))</f>
        <v/>
      </c>
      <c r="AE202" s="12" t="str">
        <f aca="false">IF(COUNT(V202:Z202)=0,"",AVERAGE(V202:Z202))</f>
        <v/>
      </c>
      <c r="AF202" s="11" t="str">
        <f aca="false">IF(COUNT(T202:U202)&lt;2,"",IF(ABS(T202-U202)&gt;=2,"Check",""))</f>
        <v/>
      </c>
    </row>
    <row r="203" customFormat="false" ht="15" hidden="false" customHeight="false" outlineLevel="0" collapsed="false">
      <c r="A203" s="9"/>
      <c r="B203" s="9"/>
      <c r="C203" s="9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1" t="str">
        <f aca="false">IF(COUNTA(A203,D203:S203)=0,"",SUMPRODUCT(--(D203:S203=D$2:S$2)))</f>
        <v/>
      </c>
      <c r="AB203" s="11" t="str">
        <f aca="false">IF(COUNTA(A203,D203:S203)=0,"",SUMPRODUCT((D203:S203=D$2:S$2)*D$3:S$3))</f>
        <v/>
      </c>
      <c r="AC203" s="11" t="str">
        <f aca="false">IF(COUNTA(A203,D203:S203)=0,"",AA203-AB203)</f>
        <v/>
      </c>
      <c r="AD203" s="12" t="str">
        <f aca="false">IF(COUNT(T203:U203)=0,"",AVERAGE(T203:U203))</f>
        <v/>
      </c>
      <c r="AE203" s="12" t="str">
        <f aca="false">IF(COUNT(V203:Z203)=0,"",AVERAGE(V203:Z203))</f>
        <v/>
      </c>
      <c r="AF203" s="11" t="str">
        <f aca="false">IF(COUNT(T203:U203)&lt;2,"",IF(ABS(T203-U203)&gt;=2,"Check",""))</f>
        <v/>
      </c>
    </row>
  </sheetData>
  <dataValidations count="4">
    <dataValidation allowBlank="true" error="Type First or Last." errorStyle="stop" operator="between" showDropDown="false" showErrorMessage="false" showInputMessage="false" sqref="B4:B203" type="list">
      <formula1>"First,Last"</formula1>
      <formula2>0</formula2>
    </dataValidation>
    <dataValidation allowBlank="true" error="Type A, B or C, or leave it empty." errorStyle="stop" operator="between" showDropDown="false" showErrorMessage="false" showInputMessage="false" sqref="D4:S203" type="list">
      <formula1>"A,B,C"</formula1>
      <formula2>0</formula2>
    </dataValidation>
    <dataValidation allowBlank="true" error="A mark from 0 to 6." errorStyle="stop" operator="between" showDropDown="false" showErrorMessage="false" showInputMessage="false" sqref="T4:U203" type="whole">
      <formula1>0</formula1>
      <formula2>6</formula2>
    </dataValidation>
    <dataValidation allowBlank="true" error="1 to 4: the first face is 1." errorStyle="stop" operator="between" showDropDown="false" showErrorMessage="false" showInputMessage="false" sqref="V4:Z203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4" min="2" style="0" width="12"/>
    <col collapsed="false" customWidth="true" hidden="false" outlineLevel="0" max="15" min="15" style="0" width="32"/>
  </cols>
  <sheetData>
    <row r="1" customFormat="false" ht="17.35" hidden="false" customHeight="false" outlineLevel="0" collapsed="false">
      <c r="A1" s="1" t="s">
        <v>98</v>
      </c>
    </row>
    <row r="2" customFormat="false" ht="15" hidden="false" customHeight="false" outlineLevel="0" collapsed="false">
      <c r="A2" s="4" t="s">
        <v>99</v>
      </c>
    </row>
    <row r="3" customFormat="false" ht="15" hidden="false" customHeight="false" outlineLevel="0" collapsed="false">
      <c r="A3" s="2" t="s">
        <v>100</v>
      </c>
      <c r="D3" s="13" t="n">
        <f aca="false">SUM(N15:N114)</f>
        <v>0</v>
      </c>
    </row>
    <row r="4" customFormat="false" ht="15" hidden="false" customHeight="false" outlineLevel="0" collapsed="false">
      <c r="A4" s="2" t="s">
        <v>101</v>
      </c>
      <c r="D4" s="14" t="str">
        <f aca="false">IFERROR(AVERAGEIFS(B15:B114,N15:N114,1),"")</f>
        <v/>
      </c>
    </row>
    <row r="5" customFormat="false" ht="15" hidden="false" customHeight="false" outlineLevel="0" collapsed="false">
      <c r="A5" s="2" t="s">
        <v>102</v>
      </c>
      <c r="D5" s="14" t="str">
        <f aca="false">IFERROR(AVERAGEIFS(C15:C114,N15:N114,1),"")</f>
        <v/>
      </c>
    </row>
    <row r="6" customFormat="false" ht="15" hidden="false" customHeight="false" outlineLevel="0" collapsed="false">
      <c r="A6" s="2" t="s">
        <v>103</v>
      </c>
      <c r="D6" s="15" t="str">
        <f aca="false">IFERROR(AVERAGEIFS(D15:D114,N15:N114,1),"")</f>
        <v/>
      </c>
    </row>
    <row r="7" customFormat="false" ht="15" hidden="false" customHeight="false" outlineLevel="0" collapsed="false">
      <c r="A7" s="2" t="s">
        <v>104</v>
      </c>
      <c r="D7" s="16" t="str">
        <f aca="false">IFERROR(COUNTIFS(N15:N114,1,D15:D114,"&gt;0")/SUM(N15:N114),"")</f>
        <v/>
      </c>
    </row>
    <row r="8" customFormat="false" ht="15" hidden="false" customHeight="false" outlineLevel="0" collapsed="false">
      <c r="A8" s="2" t="s">
        <v>105</v>
      </c>
      <c r="D8" s="17" t="str">
        <f aca="false">IFERROR(AVERAGEIFS(E15:E114,N15:N114,1),"")</f>
        <v/>
      </c>
    </row>
    <row r="9" customFormat="false" ht="15" hidden="false" customHeight="false" outlineLevel="0" collapsed="false">
      <c r="A9" s="2" t="s">
        <v>106</v>
      </c>
      <c r="D9" s="18" t="str">
        <f aca="false">IFERROR((AVERAGEIFS(G15:G114,N15:N114,1)-AVERAGEIFS(F15:F114,N15:N114,1))/12,"")</f>
        <v/>
      </c>
    </row>
    <row r="10" customFormat="false" ht="15" hidden="false" customHeight="false" outlineLevel="0" collapsed="false">
      <c r="A10" s="2" t="s">
        <v>107</v>
      </c>
      <c r="D10" s="18" t="str">
        <f aca="false">IFERROR((AVERAGEIFS(I15:I114,N15:N114,1)-AVERAGEIFS(H15:H114,N15:N114,1))/4,"")</f>
        <v/>
      </c>
    </row>
    <row r="11" customFormat="false" ht="15" hidden="false" customHeight="false" outlineLevel="0" collapsed="false">
      <c r="A11" s="2" t="s">
        <v>108</v>
      </c>
      <c r="D11" s="15" t="str">
        <f aca="false">IFERROR(AVERAGEIFS(K15:K114,N15:N114,1,J15:J114,"&gt;=0",K15:K114,"&gt;=0")-AVERAGEIFS(J15:J114,N15:N114,1,J15:J114,"&gt;=0",K15:K114,"&gt;=0"),"")</f>
        <v/>
      </c>
    </row>
    <row r="12" customFormat="false" ht="15" hidden="false" customHeight="false" outlineLevel="0" collapsed="false">
      <c r="A12" s="2" t="s">
        <v>109</v>
      </c>
      <c r="D12" s="15" t="str">
        <f aca="false">IFERROR(AVERAGEIFS(M15:M114,N15:N114,1,L15:L114,"&gt;=1",M15:M114,"&gt;=1")-AVERAGEIFS(L15:L114,N15:N114,1,L15:L114,"&gt;=1",M15:M114,"&gt;=1"),"")</f>
        <v/>
      </c>
    </row>
    <row r="14" customFormat="false" ht="45" hidden="false" customHeight="true" outlineLevel="0" collapsed="false">
      <c r="A14" s="7" t="s">
        <v>19</v>
      </c>
      <c r="B14" s="7" t="s">
        <v>110</v>
      </c>
      <c r="C14" s="7" t="s">
        <v>111</v>
      </c>
      <c r="D14" s="7" t="s">
        <v>112</v>
      </c>
      <c r="E14" s="7" t="s">
        <v>113</v>
      </c>
      <c r="F14" s="7" t="s">
        <v>114</v>
      </c>
      <c r="G14" s="7" t="s">
        <v>115</v>
      </c>
      <c r="H14" s="7" t="s">
        <v>116</v>
      </c>
      <c r="I14" s="7" t="s">
        <v>117</v>
      </c>
      <c r="J14" s="7" t="s">
        <v>118</v>
      </c>
      <c r="K14" s="7" t="s">
        <v>119</v>
      </c>
      <c r="L14" s="7" t="s">
        <v>120</v>
      </c>
      <c r="M14" s="7" t="s">
        <v>121</v>
      </c>
      <c r="N14" s="7" t="s">
        <v>122</v>
      </c>
      <c r="O14" s="7" t="s">
        <v>123</v>
      </c>
    </row>
    <row r="15" customFormat="false" ht="15" hidden="false" customHeight="false" outlineLevel="0" collapsed="false">
      <c r="A15" s="9"/>
      <c r="B15" s="11" t="str">
        <f aca="false">IF(OR($A15="",COUNTIFS(Answers!$A$4:$A$203,$A15,Answers!$B$4:$B$203,"First")=0),"",SUMIFS(Answers!$AA$4:$AA$203,Answers!$A$4:$A$203,$A15,Answers!$B$4:$B$203,"First"))</f>
        <v/>
      </c>
      <c r="C15" s="11" t="str">
        <f aca="false">IF(OR($A15="",COUNTIFS(Answers!$A$4:$A$203,$A15,Answers!$B$4:$B$203,"Last")=0),"",SUMIFS(Answers!$AA$4:$AA$203,Answers!$A$4:$A$203,$A15,Answers!$B$4:$B$203,"Last"))</f>
        <v/>
      </c>
      <c r="D15" s="11" t="str">
        <f aca="false">IF(N15=1,C15-B15,"")</f>
        <v/>
      </c>
      <c r="E15" s="19" t="str">
        <f aca="false">IF(OR(N15&lt;&gt;1,B15=16),"",(C15-B15)/(16-B15))</f>
        <v/>
      </c>
      <c r="F15" s="11" t="str">
        <f aca="false">IF(OR($A15="",COUNTIFS(Answers!$A$4:$A$203,$A15,Answers!$B$4:$B$203,"First")=0),"",SUMIFS(Answers!$AB$4:$AB$203,Answers!$A$4:$A$203,$A15,Answers!$B$4:$B$203,"First"))</f>
        <v/>
      </c>
      <c r="G15" s="11" t="str">
        <f aca="false">IF(OR($A15="",COUNTIFS(Answers!$A$4:$A$203,$A15,Answers!$B$4:$B$203,"Last")=0),"",SUMIFS(Answers!$AB$4:$AB$203,Answers!$A$4:$A$203,$A15,Answers!$B$4:$B$203,"Last"))</f>
        <v/>
      </c>
      <c r="H15" s="11" t="str">
        <f aca="false">IF(OR($A15="",COUNTIFS(Answers!$A$4:$A$203,$A15,Answers!$B$4:$B$203,"First")=0),"",SUMIFS(Answers!$AC$4:$AC$203,Answers!$A$4:$A$203,$A15,Answers!$B$4:$B$203,"First"))</f>
        <v/>
      </c>
      <c r="I15" s="11" t="str">
        <f aca="false">IF(OR($A15="",COUNTIFS(Answers!$A$4:$A$203,$A15,Answers!$B$4:$B$203,"Last")=0),"",SUMIFS(Answers!$AC$4:$AC$203,Answers!$A$4:$A$203,$A15,Answers!$B$4:$B$203,"Last"))</f>
        <v/>
      </c>
      <c r="J15" s="12" t="str">
        <f aca="false">IF(OR($A15="",COUNTIFS(Answers!$A$4:$A$203,$A15,Answers!$B$4:$B$203,"First")=0),"",SUMIFS(Answers!$AD$4:$AD$203,Answers!$A$4:$A$203,$A15,Answers!$B$4:$B$203,"First"))</f>
        <v/>
      </c>
      <c r="K15" s="12" t="str">
        <f aca="false">IF(OR($A15="",COUNTIFS(Answers!$A$4:$A$203,$A15,Answers!$B$4:$B$203,"Last")=0),"",SUMIFS(Answers!$AD$4:$AD$203,Answers!$A$4:$A$203,$A15,Answers!$B$4:$B$203,"Last"))</f>
        <v/>
      </c>
      <c r="L15" s="12" t="str">
        <f aca="false">IF(OR($A15="",COUNTIFS(Answers!$A$4:$A$203,$A15,Answers!$B$4:$B$203,"First")=0),"",SUMIFS(Answers!$AE$4:$AE$203,Answers!$A$4:$A$203,$A15,Answers!$B$4:$B$203,"First"))</f>
        <v/>
      </c>
      <c r="M15" s="12" t="str">
        <f aca="false">IF(OR($A15="",COUNTIFS(Answers!$A$4:$A$203,$A15,Answers!$B$4:$B$203,"Last")=0),"",SUMIFS(Answers!$AE$4:$AE$203,Answers!$A$4:$A$203,$A15,Answers!$B$4:$B$203,"Last"))</f>
        <v/>
      </c>
      <c r="N15" s="11" t="n">
        <f aca="false">IF(AND(B15&lt;&gt;"",C15&lt;&gt;""),1,0)</f>
        <v>0</v>
      </c>
      <c r="O15" s="11" t="str">
        <f aca="false">IF($A15="","",IF(MAX(COUNTIFS(Answers!$A$4:$A$203,$A15,Answers!$B$4:$B$203,"First"),COUNTIFS(Answers!$A$4:$A$203,$A15,Answers!$B$4:$B$203,"Last"))&gt;1,"Two rows for one session: keep one",IF(B15="","No first session",IF(C15="","No last session",""))))</f>
        <v/>
      </c>
    </row>
    <row r="16" customFormat="false" ht="15" hidden="false" customHeight="false" outlineLevel="0" collapsed="false">
      <c r="A16" s="9"/>
      <c r="B16" s="11" t="str">
        <f aca="false">IF(OR($A16="",COUNTIFS(Answers!$A$4:$A$203,$A16,Answers!$B$4:$B$203,"First")=0),"",SUMIFS(Answers!$AA$4:$AA$203,Answers!$A$4:$A$203,$A16,Answers!$B$4:$B$203,"First"))</f>
        <v/>
      </c>
      <c r="C16" s="11" t="str">
        <f aca="false">IF(OR($A16="",COUNTIFS(Answers!$A$4:$A$203,$A16,Answers!$B$4:$B$203,"Last")=0),"",SUMIFS(Answers!$AA$4:$AA$203,Answers!$A$4:$A$203,$A16,Answers!$B$4:$B$203,"Last"))</f>
        <v/>
      </c>
      <c r="D16" s="11" t="str">
        <f aca="false">IF(N16=1,C16-B16,"")</f>
        <v/>
      </c>
      <c r="E16" s="19" t="str">
        <f aca="false">IF(OR(N16&lt;&gt;1,B16=16),"",(C16-B16)/(16-B16))</f>
        <v/>
      </c>
      <c r="F16" s="11" t="str">
        <f aca="false">IF(OR($A16="",COUNTIFS(Answers!$A$4:$A$203,$A16,Answers!$B$4:$B$203,"First")=0),"",SUMIFS(Answers!$AB$4:$AB$203,Answers!$A$4:$A$203,$A16,Answers!$B$4:$B$203,"First"))</f>
        <v/>
      </c>
      <c r="G16" s="11" t="str">
        <f aca="false">IF(OR($A16="",COUNTIFS(Answers!$A$4:$A$203,$A16,Answers!$B$4:$B$203,"Last")=0),"",SUMIFS(Answers!$AB$4:$AB$203,Answers!$A$4:$A$203,$A16,Answers!$B$4:$B$203,"Last"))</f>
        <v/>
      </c>
      <c r="H16" s="11" t="str">
        <f aca="false">IF(OR($A16="",COUNTIFS(Answers!$A$4:$A$203,$A16,Answers!$B$4:$B$203,"First")=0),"",SUMIFS(Answers!$AC$4:$AC$203,Answers!$A$4:$A$203,$A16,Answers!$B$4:$B$203,"First"))</f>
        <v/>
      </c>
      <c r="I16" s="11" t="str">
        <f aca="false">IF(OR($A16="",COUNTIFS(Answers!$A$4:$A$203,$A16,Answers!$B$4:$B$203,"Last")=0),"",SUMIFS(Answers!$AC$4:$AC$203,Answers!$A$4:$A$203,$A16,Answers!$B$4:$B$203,"Last"))</f>
        <v/>
      </c>
      <c r="J16" s="12" t="str">
        <f aca="false">IF(OR($A16="",COUNTIFS(Answers!$A$4:$A$203,$A16,Answers!$B$4:$B$203,"First")=0),"",SUMIFS(Answers!$AD$4:$AD$203,Answers!$A$4:$A$203,$A16,Answers!$B$4:$B$203,"First"))</f>
        <v/>
      </c>
      <c r="K16" s="12" t="str">
        <f aca="false">IF(OR($A16="",COUNTIFS(Answers!$A$4:$A$203,$A16,Answers!$B$4:$B$203,"Last")=0),"",SUMIFS(Answers!$AD$4:$AD$203,Answers!$A$4:$A$203,$A16,Answers!$B$4:$B$203,"Last"))</f>
        <v/>
      </c>
      <c r="L16" s="12" t="str">
        <f aca="false">IF(OR($A16="",COUNTIFS(Answers!$A$4:$A$203,$A16,Answers!$B$4:$B$203,"First")=0),"",SUMIFS(Answers!$AE$4:$AE$203,Answers!$A$4:$A$203,$A16,Answers!$B$4:$B$203,"First"))</f>
        <v/>
      </c>
      <c r="M16" s="12" t="str">
        <f aca="false">IF(OR($A16="",COUNTIFS(Answers!$A$4:$A$203,$A16,Answers!$B$4:$B$203,"Last")=0),"",SUMIFS(Answers!$AE$4:$AE$203,Answers!$A$4:$A$203,$A16,Answers!$B$4:$B$203,"Last"))</f>
        <v/>
      </c>
      <c r="N16" s="11" t="n">
        <f aca="false">IF(AND(B16&lt;&gt;"",C16&lt;&gt;""),1,0)</f>
        <v>0</v>
      </c>
      <c r="O16" s="11" t="str">
        <f aca="false">IF($A16="","",IF(MAX(COUNTIFS(Answers!$A$4:$A$203,$A16,Answers!$B$4:$B$203,"First"),COUNTIFS(Answers!$A$4:$A$203,$A16,Answers!$B$4:$B$203,"Last"))&gt;1,"Two rows for one session: keep one",IF(B16="","No first session",IF(C16="","No last session",""))))</f>
        <v/>
      </c>
    </row>
    <row r="17" customFormat="false" ht="15" hidden="false" customHeight="false" outlineLevel="0" collapsed="false">
      <c r="A17" s="9"/>
      <c r="B17" s="11" t="str">
        <f aca="false">IF(OR($A17="",COUNTIFS(Answers!$A$4:$A$203,$A17,Answers!$B$4:$B$203,"First")=0),"",SUMIFS(Answers!$AA$4:$AA$203,Answers!$A$4:$A$203,$A17,Answers!$B$4:$B$203,"First"))</f>
        <v/>
      </c>
      <c r="C17" s="11" t="str">
        <f aca="false">IF(OR($A17="",COUNTIFS(Answers!$A$4:$A$203,$A17,Answers!$B$4:$B$203,"Last")=0),"",SUMIFS(Answers!$AA$4:$AA$203,Answers!$A$4:$A$203,$A17,Answers!$B$4:$B$203,"Last"))</f>
        <v/>
      </c>
      <c r="D17" s="11" t="str">
        <f aca="false">IF(N17=1,C17-B17,"")</f>
        <v/>
      </c>
      <c r="E17" s="19" t="str">
        <f aca="false">IF(OR(N17&lt;&gt;1,B17=16),"",(C17-B17)/(16-B17))</f>
        <v/>
      </c>
      <c r="F17" s="11" t="str">
        <f aca="false">IF(OR($A17="",COUNTIFS(Answers!$A$4:$A$203,$A17,Answers!$B$4:$B$203,"First")=0),"",SUMIFS(Answers!$AB$4:$AB$203,Answers!$A$4:$A$203,$A17,Answers!$B$4:$B$203,"First"))</f>
        <v/>
      </c>
      <c r="G17" s="11" t="str">
        <f aca="false">IF(OR($A17="",COUNTIFS(Answers!$A$4:$A$203,$A17,Answers!$B$4:$B$203,"Last")=0),"",SUMIFS(Answers!$AB$4:$AB$203,Answers!$A$4:$A$203,$A17,Answers!$B$4:$B$203,"Last"))</f>
        <v/>
      </c>
      <c r="H17" s="11" t="str">
        <f aca="false">IF(OR($A17="",COUNTIFS(Answers!$A$4:$A$203,$A17,Answers!$B$4:$B$203,"First")=0),"",SUMIFS(Answers!$AC$4:$AC$203,Answers!$A$4:$A$203,$A17,Answers!$B$4:$B$203,"First"))</f>
        <v/>
      </c>
      <c r="I17" s="11" t="str">
        <f aca="false">IF(OR($A17="",COUNTIFS(Answers!$A$4:$A$203,$A17,Answers!$B$4:$B$203,"Last")=0),"",SUMIFS(Answers!$AC$4:$AC$203,Answers!$A$4:$A$203,$A17,Answers!$B$4:$B$203,"Last"))</f>
        <v/>
      </c>
      <c r="J17" s="12" t="str">
        <f aca="false">IF(OR($A17="",COUNTIFS(Answers!$A$4:$A$203,$A17,Answers!$B$4:$B$203,"First")=0),"",SUMIFS(Answers!$AD$4:$AD$203,Answers!$A$4:$A$203,$A17,Answers!$B$4:$B$203,"First"))</f>
        <v/>
      </c>
      <c r="K17" s="12" t="str">
        <f aca="false">IF(OR($A17="",COUNTIFS(Answers!$A$4:$A$203,$A17,Answers!$B$4:$B$203,"Last")=0),"",SUMIFS(Answers!$AD$4:$AD$203,Answers!$A$4:$A$203,$A17,Answers!$B$4:$B$203,"Last"))</f>
        <v/>
      </c>
      <c r="L17" s="12" t="str">
        <f aca="false">IF(OR($A17="",COUNTIFS(Answers!$A$4:$A$203,$A17,Answers!$B$4:$B$203,"First")=0),"",SUMIFS(Answers!$AE$4:$AE$203,Answers!$A$4:$A$203,$A17,Answers!$B$4:$B$203,"First"))</f>
        <v/>
      </c>
      <c r="M17" s="12" t="str">
        <f aca="false">IF(OR($A17="",COUNTIFS(Answers!$A$4:$A$203,$A17,Answers!$B$4:$B$203,"Last")=0),"",SUMIFS(Answers!$AE$4:$AE$203,Answers!$A$4:$A$203,$A17,Answers!$B$4:$B$203,"Last"))</f>
        <v/>
      </c>
      <c r="N17" s="11" t="n">
        <f aca="false">IF(AND(B17&lt;&gt;"",C17&lt;&gt;""),1,0)</f>
        <v>0</v>
      </c>
      <c r="O17" s="11" t="str">
        <f aca="false">IF($A17="","",IF(MAX(COUNTIFS(Answers!$A$4:$A$203,$A17,Answers!$B$4:$B$203,"First"),COUNTIFS(Answers!$A$4:$A$203,$A17,Answers!$B$4:$B$203,"Last"))&gt;1,"Two rows for one session: keep one",IF(B17="","No first session",IF(C17="","No last session",""))))</f>
        <v/>
      </c>
    </row>
    <row r="18" customFormat="false" ht="15" hidden="false" customHeight="false" outlineLevel="0" collapsed="false">
      <c r="A18" s="9"/>
      <c r="B18" s="11" t="str">
        <f aca="false">IF(OR($A18="",COUNTIFS(Answers!$A$4:$A$203,$A18,Answers!$B$4:$B$203,"First")=0),"",SUMIFS(Answers!$AA$4:$AA$203,Answers!$A$4:$A$203,$A18,Answers!$B$4:$B$203,"First"))</f>
        <v/>
      </c>
      <c r="C18" s="11" t="str">
        <f aca="false">IF(OR($A18="",COUNTIFS(Answers!$A$4:$A$203,$A18,Answers!$B$4:$B$203,"Last")=0),"",SUMIFS(Answers!$AA$4:$AA$203,Answers!$A$4:$A$203,$A18,Answers!$B$4:$B$203,"Last"))</f>
        <v/>
      </c>
      <c r="D18" s="11" t="str">
        <f aca="false">IF(N18=1,C18-B18,"")</f>
        <v/>
      </c>
      <c r="E18" s="19" t="str">
        <f aca="false">IF(OR(N18&lt;&gt;1,B18=16),"",(C18-B18)/(16-B18))</f>
        <v/>
      </c>
      <c r="F18" s="11" t="str">
        <f aca="false">IF(OR($A18="",COUNTIFS(Answers!$A$4:$A$203,$A18,Answers!$B$4:$B$203,"First")=0),"",SUMIFS(Answers!$AB$4:$AB$203,Answers!$A$4:$A$203,$A18,Answers!$B$4:$B$203,"First"))</f>
        <v/>
      </c>
      <c r="G18" s="11" t="str">
        <f aca="false">IF(OR($A18="",COUNTIFS(Answers!$A$4:$A$203,$A18,Answers!$B$4:$B$203,"Last")=0),"",SUMIFS(Answers!$AB$4:$AB$203,Answers!$A$4:$A$203,$A18,Answers!$B$4:$B$203,"Last"))</f>
        <v/>
      </c>
      <c r="H18" s="11" t="str">
        <f aca="false">IF(OR($A18="",COUNTIFS(Answers!$A$4:$A$203,$A18,Answers!$B$4:$B$203,"First")=0),"",SUMIFS(Answers!$AC$4:$AC$203,Answers!$A$4:$A$203,$A18,Answers!$B$4:$B$203,"First"))</f>
        <v/>
      </c>
      <c r="I18" s="11" t="str">
        <f aca="false">IF(OR($A18="",COUNTIFS(Answers!$A$4:$A$203,$A18,Answers!$B$4:$B$203,"Last")=0),"",SUMIFS(Answers!$AC$4:$AC$203,Answers!$A$4:$A$203,$A18,Answers!$B$4:$B$203,"Last"))</f>
        <v/>
      </c>
      <c r="J18" s="12" t="str">
        <f aca="false">IF(OR($A18="",COUNTIFS(Answers!$A$4:$A$203,$A18,Answers!$B$4:$B$203,"First")=0),"",SUMIFS(Answers!$AD$4:$AD$203,Answers!$A$4:$A$203,$A18,Answers!$B$4:$B$203,"First"))</f>
        <v/>
      </c>
      <c r="K18" s="12" t="str">
        <f aca="false">IF(OR($A18="",COUNTIFS(Answers!$A$4:$A$203,$A18,Answers!$B$4:$B$203,"Last")=0),"",SUMIFS(Answers!$AD$4:$AD$203,Answers!$A$4:$A$203,$A18,Answers!$B$4:$B$203,"Last"))</f>
        <v/>
      </c>
      <c r="L18" s="12" t="str">
        <f aca="false">IF(OR($A18="",COUNTIFS(Answers!$A$4:$A$203,$A18,Answers!$B$4:$B$203,"First")=0),"",SUMIFS(Answers!$AE$4:$AE$203,Answers!$A$4:$A$203,$A18,Answers!$B$4:$B$203,"First"))</f>
        <v/>
      </c>
      <c r="M18" s="12" t="str">
        <f aca="false">IF(OR($A18="",COUNTIFS(Answers!$A$4:$A$203,$A18,Answers!$B$4:$B$203,"Last")=0),"",SUMIFS(Answers!$AE$4:$AE$203,Answers!$A$4:$A$203,$A18,Answers!$B$4:$B$203,"Last"))</f>
        <v/>
      </c>
      <c r="N18" s="11" t="n">
        <f aca="false">IF(AND(B18&lt;&gt;"",C18&lt;&gt;""),1,0)</f>
        <v>0</v>
      </c>
      <c r="O18" s="11" t="str">
        <f aca="false">IF($A18="","",IF(MAX(COUNTIFS(Answers!$A$4:$A$203,$A18,Answers!$B$4:$B$203,"First"),COUNTIFS(Answers!$A$4:$A$203,$A18,Answers!$B$4:$B$203,"Last"))&gt;1,"Two rows for one session: keep one",IF(B18="","No first session",IF(C18="","No last session",""))))</f>
        <v/>
      </c>
    </row>
    <row r="19" customFormat="false" ht="15" hidden="false" customHeight="false" outlineLevel="0" collapsed="false">
      <c r="A19" s="9"/>
      <c r="B19" s="11" t="str">
        <f aca="false">IF(OR($A19="",COUNTIFS(Answers!$A$4:$A$203,$A19,Answers!$B$4:$B$203,"First")=0),"",SUMIFS(Answers!$AA$4:$AA$203,Answers!$A$4:$A$203,$A19,Answers!$B$4:$B$203,"First"))</f>
        <v/>
      </c>
      <c r="C19" s="11" t="str">
        <f aca="false">IF(OR($A19="",COUNTIFS(Answers!$A$4:$A$203,$A19,Answers!$B$4:$B$203,"Last")=0),"",SUMIFS(Answers!$AA$4:$AA$203,Answers!$A$4:$A$203,$A19,Answers!$B$4:$B$203,"Last"))</f>
        <v/>
      </c>
      <c r="D19" s="11" t="str">
        <f aca="false">IF(N19=1,C19-B19,"")</f>
        <v/>
      </c>
      <c r="E19" s="19" t="str">
        <f aca="false">IF(OR(N19&lt;&gt;1,B19=16),"",(C19-B19)/(16-B19))</f>
        <v/>
      </c>
      <c r="F19" s="11" t="str">
        <f aca="false">IF(OR($A19="",COUNTIFS(Answers!$A$4:$A$203,$A19,Answers!$B$4:$B$203,"First")=0),"",SUMIFS(Answers!$AB$4:$AB$203,Answers!$A$4:$A$203,$A19,Answers!$B$4:$B$203,"First"))</f>
        <v/>
      </c>
      <c r="G19" s="11" t="str">
        <f aca="false">IF(OR($A19="",COUNTIFS(Answers!$A$4:$A$203,$A19,Answers!$B$4:$B$203,"Last")=0),"",SUMIFS(Answers!$AB$4:$AB$203,Answers!$A$4:$A$203,$A19,Answers!$B$4:$B$203,"Last"))</f>
        <v/>
      </c>
      <c r="H19" s="11" t="str">
        <f aca="false">IF(OR($A19="",COUNTIFS(Answers!$A$4:$A$203,$A19,Answers!$B$4:$B$203,"First")=0),"",SUMIFS(Answers!$AC$4:$AC$203,Answers!$A$4:$A$203,$A19,Answers!$B$4:$B$203,"First"))</f>
        <v/>
      </c>
      <c r="I19" s="11" t="str">
        <f aca="false">IF(OR($A19="",COUNTIFS(Answers!$A$4:$A$203,$A19,Answers!$B$4:$B$203,"Last")=0),"",SUMIFS(Answers!$AC$4:$AC$203,Answers!$A$4:$A$203,$A19,Answers!$B$4:$B$203,"Last"))</f>
        <v/>
      </c>
      <c r="J19" s="12" t="str">
        <f aca="false">IF(OR($A19="",COUNTIFS(Answers!$A$4:$A$203,$A19,Answers!$B$4:$B$203,"First")=0),"",SUMIFS(Answers!$AD$4:$AD$203,Answers!$A$4:$A$203,$A19,Answers!$B$4:$B$203,"First"))</f>
        <v/>
      </c>
      <c r="K19" s="12" t="str">
        <f aca="false">IF(OR($A19="",COUNTIFS(Answers!$A$4:$A$203,$A19,Answers!$B$4:$B$203,"Last")=0),"",SUMIFS(Answers!$AD$4:$AD$203,Answers!$A$4:$A$203,$A19,Answers!$B$4:$B$203,"Last"))</f>
        <v/>
      </c>
      <c r="L19" s="12" t="str">
        <f aca="false">IF(OR($A19="",COUNTIFS(Answers!$A$4:$A$203,$A19,Answers!$B$4:$B$203,"First")=0),"",SUMIFS(Answers!$AE$4:$AE$203,Answers!$A$4:$A$203,$A19,Answers!$B$4:$B$203,"First"))</f>
        <v/>
      </c>
      <c r="M19" s="12" t="str">
        <f aca="false">IF(OR($A19="",COUNTIFS(Answers!$A$4:$A$203,$A19,Answers!$B$4:$B$203,"Last")=0),"",SUMIFS(Answers!$AE$4:$AE$203,Answers!$A$4:$A$203,$A19,Answers!$B$4:$B$203,"Last"))</f>
        <v/>
      </c>
      <c r="N19" s="11" t="n">
        <f aca="false">IF(AND(B19&lt;&gt;"",C19&lt;&gt;""),1,0)</f>
        <v>0</v>
      </c>
      <c r="O19" s="11" t="str">
        <f aca="false">IF($A19="","",IF(MAX(COUNTIFS(Answers!$A$4:$A$203,$A19,Answers!$B$4:$B$203,"First"),COUNTIFS(Answers!$A$4:$A$203,$A19,Answers!$B$4:$B$203,"Last"))&gt;1,"Two rows for one session: keep one",IF(B19="","No first session",IF(C19="","No last session",""))))</f>
        <v/>
      </c>
    </row>
    <row r="20" customFormat="false" ht="15" hidden="false" customHeight="false" outlineLevel="0" collapsed="false">
      <c r="A20" s="9"/>
      <c r="B20" s="11" t="str">
        <f aca="false">IF(OR($A20="",COUNTIFS(Answers!$A$4:$A$203,$A20,Answers!$B$4:$B$203,"First")=0),"",SUMIFS(Answers!$AA$4:$AA$203,Answers!$A$4:$A$203,$A20,Answers!$B$4:$B$203,"First"))</f>
        <v/>
      </c>
      <c r="C20" s="11" t="str">
        <f aca="false">IF(OR($A20="",COUNTIFS(Answers!$A$4:$A$203,$A20,Answers!$B$4:$B$203,"Last")=0),"",SUMIFS(Answers!$AA$4:$AA$203,Answers!$A$4:$A$203,$A20,Answers!$B$4:$B$203,"Last"))</f>
        <v/>
      </c>
      <c r="D20" s="11" t="str">
        <f aca="false">IF(N20=1,C20-B20,"")</f>
        <v/>
      </c>
      <c r="E20" s="19" t="str">
        <f aca="false">IF(OR(N20&lt;&gt;1,B20=16),"",(C20-B20)/(16-B20))</f>
        <v/>
      </c>
      <c r="F20" s="11" t="str">
        <f aca="false">IF(OR($A20="",COUNTIFS(Answers!$A$4:$A$203,$A20,Answers!$B$4:$B$203,"First")=0),"",SUMIFS(Answers!$AB$4:$AB$203,Answers!$A$4:$A$203,$A20,Answers!$B$4:$B$203,"First"))</f>
        <v/>
      </c>
      <c r="G20" s="11" t="str">
        <f aca="false">IF(OR($A20="",COUNTIFS(Answers!$A$4:$A$203,$A20,Answers!$B$4:$B$203,"Last")=0),"",SUMIFS(Answers!$AB$4:$AB$203,Answers!$A$4:$A$203,$A20,Answers!$B$4:$B$203,"Last"))</f>
        <v/>
      </c>
      <c r="H20" s="11" t="str">
        <f aca="false">IF(OR($A20="",COUNTIFS(Answers!$A$4:$A$203,$A20,Answers!$B$4:$B$203,"First")=0),"",SUMIFS(Answers!$AC$4:$AC$203,Answers!$A$4:$A$203,$A20,Answers!$B$4:$B$203,"First"))</f>
        <v/>
      </c>
      <c r="I20" s="11" t="str">
        <f aca="false">IF(OR($A20="",COUNTIFS(Answers!$A$4:$A$203,$A20,Answers!$B$4:$B$203,"Last")=0),"",SUMIFS(Answers!$AC$4:$AC$203,Answers!$A$4:$A$203,$A20,Answers!$B$4:$B$203,"Last"))</f>
        <v/>
      </c>
      <c r="J20" s="12" t="str">
        <f aca="false">IF(OR($A20="",COUNTIFS(Answers!$A$4:$A$203,$A20,Answers!$B$4:$B$203,"First")=0),"",SUMIFS(Answers!$AD$4:$AD$203,Answers!$A$4:$A$203,$A20,Answers!$B$4:$B$203,"First"))</f>
        <v/>
      </c>
      <c r="K20" s="12" t="str">
        <f aca="false">IF(OR($A20="",COUNTIFS(Answers!$A$4:$A$203,$A20,Answers!$B$4:$B$203,"Last")=0),"",SUMIFS(Answers!$AD$4:$AD$203,Answers!$A$4:$A$203,$A20,Answers!$B$4:$B$203,"Last"))</f>
        <v/>
      </c>
      <c r="L20" s="12" t="str">
        <f aca="false">IF(OR($A20="",COUNTIFS(Answers!$A$4:$A$203,$A20,Answers!$B$4:$B$203,"First")=0),"",SUMIFS(Answers!$AE$4:$AE$203,Answers!$A$4:$A$203,$A20,Answers!$B$4:$B$203,"First"))</f>
        <v/>
      </c>
      <c r="M20" s="12" t="str">
        <f aca="false">IF(OR($A20="",COUNTIFS(Answers!$A$4:$A$203,$A20,Answers!$B$4:$B$203,"Last")=0),"",SUMIFS(Answers!$AE$4:$AE$203,Answers!$A$4:$A$203,$A20,Answers!$B$4:$B$203,"Last"))</f>
        <v/>
      </c>
      <c r="N20" s="11" t="n">
        <f aca="false">IF(AND(B20&lt;&gt;"",C20&lt;&gt;""),1,0)</f>
        <v>0</v>
      </c>
      <c r="O20" s="11" t="str">
        <f aca="false">IF($A20="","",IF(MAX(COUNTIFS(Answers!$A$4:$A$203,$A20,Answers!$B$4:$B$203,"First"),COUNTIFS(Answers!$A$4:$A$203,$A20,Answers!$B$4:$B$203,"Last"))&gt;1,"Two rows for one session: keep one",IF(B20="","No first session",IF(C20="","No last session",""))))</f>
        <v/>
      </c>
    </row>
    <row r="21" customFormat="false" ht="15" hidden="false" customHeight="false" outlineLevel="0" collapsed="false">
      <c r="A21" s="9"/>
      <c r="B21" s="11" t="str">
        <f aca="false">IF(OR($A21="",COUNTIFS(Answers!$A$4:$A$203,$A21,Answers!$B$4:$B$203,"First")=0),"",SUMIFS(Answers!$AA$4:$AA$203,Answers!$A$4:$A$203,$A21,Answers!$B$4:$B$203,"First"))</f>
        <v/>
      </c>
      <c r="C21" s="11" t="str">
        <f aca="false">IF(OR($A21="",COUNTIFS(Answers!$A$4:$A$203,$A21,Answers!$B$4:$B$203,"Last")=0),"",SUMIFS(Answers!$AA$4:$AA$203,Answers!$A$4:$A$203,$A21,Answers!$B$4:$B$203,"Last"))</f>
        <v/>
      </c>
      <c r="D21" s="11" t="str">
        <f aca="false">IF(N21=1,C21-B21,"")</f>
        <v/>
      </c>
      <c r="E21" s="19" t="str">
        <f aca="false">IF(OR(N21&lt;&gt;1,B21=16),"",(C21-B21)/(16-B21))</f>
        <v/>
      </c>
      <c r="F21" s="11" t="str">
        <f aca="false">IF(OR($A21="",COUNTIFS(Answers!$A$4:$A$203,$A21,Answers!$B$4:$B$203,"First")=0),"",SUMIFS(Answers!$AB$4:$AB$203,Answers!$A$4:$A$203,$A21,Answers!$B$4:$B$203,"First"))</f>
        <v/>
      </c>
      <c r="G21" s="11" t="str">
        <f aca="false">IF(OR($A21="",COUNTIFS(Answers!$A$4:$A$203,$A21,Answers!$B$4:$B$203,"Last")=0),"",SUMIFS(Answers!$AB$4:$AB$203,Answers!$A$4:$A$203,$A21,Answers!$B$4:$B$203,"Last"))</f>
        <v/>
      </c>
      <c r="H21" s="11" t="str">
        <f aca="false">IF(OR($A21="",COUNTIFS(Answers!$A$4:$A$203,$A21,Answers!$B$4:$B$203,"First")=0),"",SUMIFS(Answers!$AC$4:$AC$203,Answers!$A$4:$A$203,$A21,Answers!$B$4:$B$203,"First"))</f>
        <v/>
      </c>
      <c r="I21" s="11" t="str">
        <f aca="false">IF(OR($A21="",COUNTIFS(Answers!$A$4:$A$203,$A21,Answers!$B$4:$B$203,"Last")=0),"",SUMIFS(Answers!$AC$4:$AC$203,Answers!$A$4:$A$203,$A21,Answers!$B$4:$B$203,"Last"))</f>
        <v/>
      </c>
      <c r="J21" s="12" t="str">
        <f aca="false">IF(OR($A21="",COUNTIFS(Answers!$A$4:$A$203,$A21,Answers!$B$4:$B$203,"First")=0),"",SUMIFS(Answers!$AD$4:$AD$203,Answers!$A$4:$A$203,$A21,Answers!$B$4:$B$203,"First"))</f>
        <v/>
      </c>
      <c r="K21" s="12" t="str">
        <f aca="false">IF(OR($A21="",COUNTIFS(Answers!$A$4:$A$203,$A21,Answers!$B$4:$B$203,"Last")=0),"",SUMIFS(Answers!$AD$4:$AD$203,Answers!$A$4:$A$203,$A21,Answers!$B$4:$B$203,"Last"))</f>
        <v/>
      </c>
      <c r="L21" s="12" t="str">
        <f aca="false">IF(OR($A21="",COUNTIFS(Answers!$A$4:$A$203,$A21,Answers!$B$4:$B$203,"First")=0),"",SUMIFS(Answers!$AE$4:$AE$203,Answers!$A$4:$A$203,$A21,Answers!$B$4:$B$203,"First"))</f>
        <v/>
      </c>
      <c r="M21" s="12" t="str">
        <f aca="false">IF(OR($A21="",COUNTIFS(Answers!$A$4:$A$203,$A21,Answers!$B$4:$B$203,"Last")=0),"",SUMIFS(Answers!$AE$4:$AE$203,Answers!$A$4:$A$203,$A21,Answers!$B$4:$B$203,"Last"))</f>
        <v/>
      </c>
      <c r="N21" s="11" t="n">
        <f aca="false">IF(AND(B21&lt;&gt;"",C21&lt;&gt;""),1,0)</f>
        <v>0</v>
      </c>
      <c r="O21" s="11" t="str">
        <f aca="false">IF($A21="","",IF(MAX(COUNTIFS(Answers!$A$4:$A$203,$A21,Answers!$B$4:$B$203,"First"),COUNTIFS(Answers!$A$4:$A$203,$A21,Answers!$B$4:$B$203,"Last"))&gt;1,"Two rows for one session: keep one",IF(B21="","No first session",IF(C21="","No last session",""))))</f>
        <v/>
      </c>
    </row>
    <row r="22" customFormat="false" ht="15" hidden="false" customHeight="false" outlineLevel="0" collapsed="false">
      <c r="A22" s="9"/>
      <c r="B22" s="11" t="str">
        <f aca="false">IF(OR($A22="",COUNTIFS(Answers!$A$4:$A$203,$A22,Answers!$B$4:$B$203,"First")=0),"",SUMIFS(Answers!$AA$4:$AA$203,Answers!$A$4:$A$203,$A22,Answers!$B$4:$B$203,"First"))</f>
        <v/>
      </c>
      <c r="C22" s="11" t="str">
        <f aca="false">IF(OR($A22="",COUNTIFS(Answers!$A$4:$A$203,$A22,Answers!$B$4:$B$203,"Last")=0),"",SUMIFS(Answers!$AA$4:$AA$203,Answers!$A$4:$A$203,$A22,Answers!$B$4:$B$203,"Last"))</f>
        <v/>
      </c>
      <c r="D22" s="11" t="str">
        <f aca="false">IF(N22=1,C22-B22,"")</f>
        <v/>
      </c>
      <c r="E22" s="19" t="str">
        <f aca="false">IF(OR(N22&lt;&gt;1,B22=16),"",(C22-B22)/(16-B22))</f>
        <v/>
      </c>
      <c r="F22" s="11" t="str">
        <f aca="false">IF(OR($A22="",COUNTIFS(Answers!$A$4:$A$203,$A22,Answers!$B$4:$B$203,"First")=0),"",SUMIFS(Answers!$AB$4:$AB$203,Answers!$A$4:$A$203,$A22,Answers!$B$4:$B$203,"First"))</f>
        <v/>
      </c>
      <c r="G22" s="11" t="str">
        <f aca="false">IF(OR($A22="",COUNTIFS(Answers!$A$4:$A$203,$A22,Answers!$B$4:$B$203,"Last")=0),"",SUMIFS(Answers!$AB$4:$AB$203,Answers!$A$4:$A$203,$A22,Answers!$B$4:$B$203,"Last"))</f>
        <v/>
      </c>
      <c r="H22" s="11" t="str">
        <f aca="false">IF(OR($A22="",COUNTIFS(Answers!$A$4:$A$203,$A22,Answers!$B$4:$B$203,"First")=0),"",SUMIFS(Answers!$AC$4:$AC$203,Answers!$A$4:$A$203,$A22,Answers!$B$4:$B$203,"First"))</f>
        <v/>
      </c>
      <c r="I22" s="11" t="str">
        <f aca="false">IF(OR($A22="",COUNTIFS(Answers!$A$4:$A$203,$A22,Answers!$B$4:$B$203,"Last")=0),"",SUMIFS(Answers!$AC$4:$AC$203,Answers!$A$4:$A$203,$A22,Answers!$B$4:$B$203,"Last"))</f>
        <v/>
      </c>
      <c r="J22" s="12" t="str">
        <f aca="false">IF(OR($A22="",COUNTIFS(Answers!$A$4:$A$203,$A22,Answers!$B$4:$B$203,"First")=0),"",SUMIFS(Answers!$AD$4:$AD$203,Answers!$A$4:$A$203,$A22,Answers!$B$4:$B$203,"First"))</f>
        <v/>
      </c>
      <c r="K22" s="12" t="str">
        <f aca="false">IF(OR($A22="",COUNTIFS(Answers!$A$4:$A$203,$A22,Answers!$B$4:$B$203,"Last")=0),"",SUMIFS(Answers!$AD$4:$AD$203,Answers!$A$4:$A$203,$A22,Answers!$B$4:$B$203,"Last"))</f>
        <v/>
      </c>
      <c r="L22" s="12" t="str">
        <f aca="false">IF(OR($A22="",COUNTIFS(Answers!$A$4:$A$203,$A22,Answers!$B$4:$B$203,"First")=0),"",SUMIFS(Answers!$AE$4:$AE$203,Answers!$A$4:$A$203,$A22,Answers!$B$4:$B$203,"First"))</f>
        <v/>
      </c>
      <c r="M22" s="12" t="str">
        <f aca="false">IF(OR($A22="",COUNTIFS(Answers!$A$4:$A$203,$A22,Answers!$B$4:$B$203,"Last")=0),"",SUMIFS(Answers!$AE$4:$AE$203,Answers!$A$4:$A$203,$A22,Answers!$B$4:$B$203,"Last"))</f>
        <v/>
      </c>
      <c r="N22" s="11" t="n">
        <f aca="false">IF(AND(B22&lt;&gt;"",C22&lt;&gt;""),1,0)</f>
        <v>0</v>
      </c>
      <c r="O22" s="11" t="str">
        <f aca="false">IF($A22="","",IF(MAX(COUNTIFS(Answers!$A$4:$A$203,$A22,Answers!$B$4:$B$203,"First"),COUNTIFS(Answers!$A$4:$A$203,$A22,Answers!$B$4:$B$203,"Last"))&gt;1,"Two rows for one session: keep one",IF(B22="","No first session",IF(C22="","No last session",""))))</f>
        <v/>
      </c>
    </row>
    <row r="23" customFormat="false" ht="15" hidden="false" customHeight="false" outlineLevel="0" collapsed="false">
      <c r="A23" s="9"/>
      <c r="B23" s="11" t="str">
        <f aca="false">IF(OR($A23="",COUNTIFS(Answers!$A$4:$A$203,$A23,Answers!$B$4:$B$203,"First")=0),"",SUMIFS(Answers!$AA$4:$AA$203,Answers!$A$4:$A$203,$A23,Answers!$B$4:$B$203,"First"))</f>
        <v/>
      </c>
      <c r="C23" s="11" t="str">
        <f aca="false">IF(OR($A23="",COUNTIFS(Answers!$A$4:$A$203,$A23,Answers!$B$4:$B$203,"Last")=0),"",SUMIFS(Answers!$AA$4:$AA$203,Answers!$A$4:$A$203,$A23,Answers!$B$4:$B$203,"Last"))</f>
        <v/>
      </c>
      <c r="D23" s="11" t="str">
        <f aca="false">IF(N23=1,C23-B23,"")</f>
        <v/>
      </c>
      <c r="E23" s="19" t="str">
        <f aca="false">IF(OR(N23&lt;&gt;1,B23=16),"",(C23-B23)/(16-B23))</f>
        <v/>
      </c>
      <c r="F23" s="11" t="str">
        <f aca="false">IF(OR($A23="",COUNTIFS(Answers!$A$4:$A$203,$A23,Answers!$B$4:$B$203,"First")=0),"",SUMIFS(Answers!$AB$4:$AB$203,Answers!$A$4:$A$203,$A23,Answers!$B$4:$B$203,"First"))</f>
        <v/>
      </c>
      <c r="G23" s="11" t="str">
        <f aca="false">IF(OR($A23="",COUNTIFS(Answers!$A$4:$A$203,$A23,Answers!$B$4:$B$203,"Last")=0),"",SUMIFS(Answers!$AB$4:$AB$203,Answers!$A$4:$A$203,$A23,Answers!$B$4:$B$203,"Last"))</f>
        <v/>
      </c>
      <c r="H23" s="11" t="str">
        <f aca="false">IF(OR($A23="",COUNTIFS(Answers!$A$4:$A$203,$A23,Answers!$B$4:$B$203,"First")=0),"",SUMIFS(Answers!$AC$4:$AC$203,Answers!$A$4:$A$203,$A23,Answers!$B$4:$B$203,"First"))</f>
        <v/>
      </c>
      <c r="I23" s="11" t="str">
        <f aca="false">IF(OR($A23="",COUNTIFS(Answers!$A$4:$A$203,$A23,Answers!$B$4:$B$203,"Last")=0),"",SUMIFS(Answers!$AC$4:$AC$203,Answers!$A$4:$A$203,$A23,Answers!$B$4:$B$203,"Last"))</f>
        <v/>
      </c>
      <c r="J23" s="12" t="str">
        <f aca="false">IF(OR($A23="",COUNTIFS(Answers!$A$4:$A$203,$A23,Answers!$B$4:$B$203,"First")=0),"",SUMIFS(Answers!$AD$4:$AD$203,Answers!$A$4:$A$203,$A23,Answers!$B$4:$B$203,"First"))</f>
        <v/>
      </c>
      <c r="K23" s="12" t="str">
        <f aca="false">IF(OR($A23="",COUNTIFS(Answers!$A$4:$A$203,$A23,Answers!$B$4:$B$203,"Last")=0),"",SUMIFS(Answers!$AD$4:$AD$203,Answers!$A$4:$A$203,$A23,Answers!$B$4:$B$203,"Last"))</f>
        <v/>
      </c>
      <c r="L23" s="12" t="str">
        <f aca="false">IF(OR($A23="",COUNTIFS(Answers!$A$4:$A$203,$A23,Answers!$B$4:$B$203,"First")=0),"",SUMIFS(Answers!$AE$4:$AE$203,Answers!$A$4:$A$203,$A23,Answers!$B$4:$B$203,"First"))</f>
        <v/>
      </c>
      <c r="M23" s="12" t="str">
        <f aca="false">IF(OR($A23="",COUNTIFS(Answers!$A$4:$A$203,$A23,Answers!$B$4:$B$203,"Last")=0),"",SUMIFS(Answers!$AE$4:$AE$203,Answers!$A$4:$A$203,$A23,Answers!$B$4:$B$203,"Last"))</f>
        <v/>
      </c>
      <c r="N23" s="11" t="n">
        <f aca="false">IF(AND(B23&lt;&gt;"",C23&lt;&gt;""),1,0)</f>
        <v>0</v>
      </c>
      <c r="O23" s="11" t="str">
        <f aca="false">IF($A23="","",IF(MAX(COUNTIFS(Answers!$A$4:$A$203,$A23,Answers!$B$4:$B$203,"First"),COUNTIFS(Answers!$A$4:$A$203,$A23,Answers!$B$4:$B$203,"Last"))&gt;1,"Two rows for one session: keep one",IF(B23="","No first session",IF(C23="","No last session",""))))</f>
        <v/>
      </c>
    </row>
    <row r="24" customFormat="false" ht="15" hidden="false" customHeight="false" outlineLevel="0" collapsed="false">
      <c r="A24" s="9"/>
      <c r="B24" s="11" t="str">
        <f aca="false">IF(OR($A24="",COUNTIFS(Answers!$A$4:$A$203,$A24,Answers!$B$4:$B$203,"First")=0),"",SUMIFS(Answers!$AA$4:$AA$203,Answers!$A$4:$A$203,$A24,Answers!$B$4:$B$203,"First"))</f>
        <v/>
      </c>
      <c r="C24" s="11" t="str">
        <f aca="false">IF(OR($A24="",COUNTIFS(Answers!$A$4:$A$203,$A24,Answers!$B$4:$B$203,"Last")=0),"",SUMIFS(Answers!$AA$4:$AA$203,Answers!$A$4:$A$203,$A24,Answers!$B$4:$B$203,"Last"))</f>
        <v/>
      </c>
      <c r="D24" s="11" t="str">
        <f aca="false">IF(N24=1,C24-B24,"")</f>
        <v/>
      </c>
      <c r="E24" s="19" t="str">
        <f aca="false">IF(OR(N24&lt;&gt;1,B24=16),"",(C24-B24)/(16-B24))</f>
        <v/>
      </c>
      <c r="F24" s="11" t="str">
        <f aca="false">IF(OR($A24="",COUNTIFS(Answers!$A$4:$A$203,$A24,Answers!$B$4:$B$203,"First")=0),"",SUMIFS(Answers!$AB$4:$AB$203,Answers!$A$4:$A$203,$A24,Answers!$B$4:$B$203,"First"))</f>
        <v/>
      </c>
      <c r="G24" s="11" t="str">
        <f aca="false">IF(OR($A24="",COUNTIFS(Answers!$A$4:$A$203,$A24,Answers!$B$4:$B$203,"Last")=0),"",SUMIFS(Answers!$AB$4:$AB$203,Answers!$A$4:$A$203,$A24,Answers!$B$4:$B$203,"Last"))</f>
        <v/>
      </c>
      <c r="H24" s="11" t="str">
        <f aca="false">IF(OR($A24="",COUNTIFS(Answers!$A$4:$A$203,$A24,Answers!$B$4:$B$203,"First")=0),"",SUMIFS(Answers!$AC$4:$AC$203,Answers!$A$4:$A$203,$A24,Answers!$B$4:$B$203,"First"))</f>
        <v/>
      </c>
      <c r="I24" s="11" t="str">
        <f aca="false">IF(OR($A24="",COUNTIFS(Answers!$A$4:$A$203,$A24,Answers!$B$4:$B$203,"Last")=0),"",SUMIFS(Answers!$AC$4:$AC$203,Answers!$A$4:$A$203,$A24,Answers!$B$4:$B$203,"Last"))</f>
        <v/>
      </c>
      <c r="J24" s="12" t="str">
        <f aca="false">IF(OR($A24="",COUNTIFS(Answers!$A$4:$A$203,$A24,Answers!$B$4:$B$203,"First")=0),"",SUMIFS(Answers!$AD$4:$AD$203,Answers!$A$4:$A$203,$A24,Answers!$B$4:$B$203,"First"))</f>
        <v/>
      </c>
      <c r="K24" s="12" t="str">
        <f aca="false">IF(OR($A24="",COUNTIFS(Answers!$A$4:$A$203,$A24,Answers!$B$4:$B$203,"Last")=0),"",SUMIFS(Answers!$AD$4:$AD$203,Answers!$A$4:$A$203,$A24,Answers!$B$4:$B$203,"Last"))</f>
        <v/>
      </c>
      <c r="L24" s="12" t="str">
        <f aca="false">IF(OR($A24="",COUNTIFS(Answers!$A$4:$A$203,$A24,Answers!$B$4:$B$203,"First")=0),"",SUMIFS(Answers!$AE$4:$AE$203,Answers!$A$4:$A$203,$A24,Answers!$B$4:$B$203,"First"))</f>
        <v/>
      </c>
      <c r="M24" s="12" t="str">
        <f aca="false">IF(OR($A24="",COUNTIFS(Answers!$A$4:$A$203,$A24,Answers!$B$4:$B$203,"Last")=0),"",SUMIFS(Answers!$AE$4:$AE$203,Answers!$A$4:$A$203,$A24,Answers!$B$4:$B$203,"Last"))</f>
        <v/>
      </c>
      <c r="N24" s="11" t="n">
        <f aca="false">IF(AND(B24&lt;&gt;"",C24&lt;&gt;""),1,0)</f>
        <v>0</v>
      </c>
      <c r="O24" s="11" t="str">
        <f aca="false">IF($A24="","",IF(MAX(COUNTIFS(Answers!$A$4:$A$203,$A24,Answers!$B$4:$B$203,"First"),COUNTIFS(Answers!$A$4:$A$203,$A24,Answers!$B$4:$B$203,"Last"))&gt;1,"Two rows for one session: keep one",IF(B24="","No first session",IF(C24="","No last session",""))))</f>
        <v/>
      </c>
    </row>
    <row r="25" customFormat="false" ht="15" hidden="false" customHeight="false" outlineLevel="0" collapsed="false">
      <c r="A25" s="9"/>
      <c r="B25" s="11" t="str">
        <f aca="false">IF(OR($A25="",COUNTIFS(Answers!$A$4:$A$203,$A25,Answers!$B$4:$B$203,"First")=0),"",SUMIFS(Answers!$AA$4:$AA$203,Answers!$A$4:$A$203,$A25,Answers!$B$4:$B$203,"First"))</f>
        <v/>
      </c>
      <c r="C25" s="11" t="str">
        <f aca="false">IF(OR($A25="",COUNTIFS(Answers!$A$4:$A$203,$A25,Answers!$B$4:$B$203,"Last")=0),"",SUMIFS(Answers!$AA$4:$AA$203,Answers!$A$4:$A$203,$A25,Answers!$B$4:$B$203,"Last"))</f>
        <v/>
      </c>
      <c r="D25" s="11" t="str">
        <f aca="false">IF(N25=1,C25-B25,"")</f>
        <v/>
      </c>
      <c r="E25" s="19" t="str">
        <f aca="false">IF(OR(N25&lt;&gt;1,B25=16),"",(C25-B25)/(16-B25))</f>
        <v/>
      </c>
      <c r="F25" s="11" t="str">
        <f aca="false">IF(OR($A25="",COUNTIFS(Answers!$A$4:$A$203,$A25,Answers!$B$4:$B$203,"First")=0),"",SUMIFS(Answers!$AB$4:$AB$203,Answers!$A$4:$A$203,$A25,Answers!$B$4:$B$203,"First"))</f>
        <v/>
      </c>
      <c r="G25" s="11" t="str">
        <f aca="false">IF(OR($A25="",COUNTIFS(Answers!$A$4:$A$203,$A25,Answers!$B$4:$B$203,"Last")=0),"",SUMIFS(Answers!$AB$4:$AB$203,Answers!$A$4:$A$203,$A25,Answers!$B$4:$B$203,"Last"))</f>
        <v/>
      </c>
      <c r="H25" s="11" t="str">
        <f aca="false">IF(OR($A25="",COUNTIFS(Answers!$A$4:$A$203,$A25,Answers!$B$4:$B$203,"First")=0),"",SUMIFS(Answers!$AC$4:$AC$203,Answers!$A$4:$A$203,$A25,Answers!$B$4:$B$203,"First"))</f>
        <v/>
      </c>
      <c r="I25" s="11" t="str">
        <f aca="false">IF(OR($A25="",COUNTIFS(Answers!$A$4:$A$203,$A25,Answers!$B$4:$B$203,"Last")=0),"",SUMIFS(Answers!$AC$4:$AC$203,Answers!$A$4:$A$203,$A25,Answers!$B$4:$B$203,"Last"))</f>
        <v/>
      </c>
      <c r="J25" s="12" t="str">
        <f aca="false">IF(OR($A25="",COUNTIFS(Answers!$A$4:$A$203,$A25,Answers!$B$4:$B$203,"First")=0),"",SUMIFS(Answers!$AD$4:$AD$203,Answers!$A$4:$A$203,$A25,Answers!$B$4:$B$203,"First"))</f>
        <v/>
      </c>
      <c r="K25" s="12" t="str">
        <f aca="false">IF(OR($A25="",COUNTIFS(Answers!$A$4:$A$203,$A25,Answers!$B$4:$B$203,"Last")=0),"",SUMIFS(Answers!$AD$4:$AD$203,Answers!$A$4:$A$203,$A25,Answers!$B$4:$B$203,"Last"))</f>
        <v/>
      </c>
      <c r="L25" s="12" t="str">
        <f aca="false">IF(OR($A25="",COUNTIFS(Answers!$A$4:$A$203,$A25,Answers!$B$4:$B$203,"First")=0),"",SUMIFS(Answers!$AE$4:$AE$203,Answers!$A$4:$A$203,$A25,Answers!$B$4:$B$203,"First"))</f>
        <v/>
      </c>
      <c r="M25" s="12" t="str">
        <f aca="false">IF(OR($A25="",COUNTIFS(Answers!$A$4:$A$203,$A25,Answers!$B$4:$B$203,"Last")=0),"",SUMIFS(Answers!$AE$4:$AE$203,Answers!$A$4:$A$203,$A25,Answers!$B$4:$B$203,"Last"))</f>
        <v/>
      </c>
      <c r="N25" s="11" t="n">
        <f aca="false">IF(AND(B25&lt;&gt;"",C25&lt;&gt;""),1,0)</f>
        <v>0</v>
      </c>
      <c r="O25" s="11" t="str">
        <f aca="false">IF($A25="","",IF(MAX(COUNTIFS(Answers!$A$4:$A$203,$A25,Answers!$B$4:$B$203,"First"),COUNTIFS(Answers!$A$4:$A$203,$A25,Answers!$B$4:$B$203,"Last"))&gt;1,"Two rows for one session: keep one",IF(B25="","No first session",IF(C25="","No last session",""))))</f>
        <v/>
      </c>
    </row>
    <row r="26" customFormat="false" ht="15" hidden="false" customHeight="false" outlineLevel="0" collapsed="false">
      <c r="A26" s="9"/>
      <c r="B26" s="11" t="str">
        <f aca="false">IF(OR($A26="",COUNTIFS(Answers!$A$4:$A$203,$A26,Answers!$B$4:$B$203,"First")=0),"",SUMIFS(Answers!$AA$4:$AA$203,Answers!$A$4:$A$203,$A26,Answers!$B$4:$B$203,"First"))</f>
        <v/>
      </c>
      <c r="C26" s="11" t="str">
        <f aca="false">IF(OR($A26="",COUNTIFS(Answers!$A$4:$A$203,$A26,Answers!$B$4:$B$203,"Last")=0),"",SUMIFS(Answers!$AA$4:$AA$203,Answers!$A$4:$A$203,$A26,Answers!$B$4:$B$203,"Last"))</f>
        <v/>
      </c>
      <c r="D26" s="11" t="str">
        <f aca="false">IF(N26=1,C26-B26,"")</f>
        <v/>
      </c>
      <c r="E26" s="19" t="str">
        <f aca="false">IF(OR(N26&lt;&gt;1,B26=16),"",(C26-B26)/(16-B26))</f>
        <v/>
      </c>
      <c r="F26" s="11" t="str">
        <f aca="false">IF(OR($A26="",COUNTIFS(Answers!$A$4:$A$203,$A26,Answers!$B$4:$B$203,"First")=0),"",SUMIFS(Answers!$AB$4:$AB$203,Answers!$A$4:$A$203,$A26,Answers!$B$4:$B$203,"First"))</f>
        <v/>
      </c>
      <c r="G26" s="11" t="str">
        <f aca="false">IF(OR($A26="",COUNTIFS(Answers!$A$4:$A$203,$A26,Answers!$B$4:$B$203,"Last")=0),"",SUMIFS(Answers!$AB$4:$AB$203,Answers!$A$4:$A$203,$A26,Answers!$B$4:$B$203,"Last"))</f>
        <v/>
      </c>
      <c r="H26" s="11" t="str">
        <f aca="false">IF(OR($A26="",COUNTIFS(Answers!$A$4:$A$203,$A26,Answers!$B$4:$B$203,"First")=0),"",SUMIFS(Answers!$AC$4:$AC$203,Answers!$A$4:$A$203,$A26,Answers!$B$4:$B$203,"First"))</f>
        <v/>
      </c>
      <c r="I26" s="11" t="str">
        <f aca="false">IF(OR($A26="",COUNTIFS(Answers!$A$4:$A$203,$A26,Answers!$B$4:$B$203,"Last")=0),"",SUMIFS(Answers!$AC$4:$AC$203,Answers!$A$4:$A$203,$A26,Answers!$B$4:$B$203,"Last"))</f>
        <v/>
      </c>
      <c r="J26" s="12" t="str">
        <f aca="false">IF(OR($A26="",COUNTIFS(Answers!$A$4:$A$203,$A26,Answers!$B$4:$B$203,"First")=0),"",SUMIFS(Answers!$AD$4:$AD$203,Answers!$A$4:$A$203,$A26,Answers!$B$4:$B$203,"First"))</f>
        <v/>
      </c>
      <c r="K26" s="12" t="str">
        <f aca="false">IF(OR($A26="",COUNTIFS(Answers!$A$4:$A$203,$A26,Answers!$B$4:$B$203,"Last")=0),"",SUMIFS(Answers!$AD$4:$AD$203,Answers!$A$4:$A$203,$A26,Answers!$B$4:$B$203,"Last"))</f>
        <v/>
      </c>
      <c r="L26" s="12" t="str">
        <f aca="false">IF(OR($A26="",COUNTIFS(Answers!$A$4:$A$203,$A26,Answers!$B$4:$B$203,"First")=0),"",SUMIFS(Answers!$AE$4:$AE$203,Answers!$A$4:$A$203,$A26,Answers!$B$4:$B$203,"First"))</f>
        <v/>
      </c>
      <c r="M26" s="12" t="str">
        <f aca="false">IF(OR($A26="",COUNTIFS(Answers!$A$4:$A$203,$A26,Answers!$B$4:$B$203,"Last")=0),"",SUMIFS(Answers!$AE$4:$AE$203,Answers!$A$4:$A$203,$A26,Answers!$B$4:$B$203,"Last"))</f>
        <v/>
      </c>
      <c r="N26" s="11" t="n">
        <f aca="false">IF(AND(B26&lt;&gt;"",C26&lt;&gt;""),1,0)</f>
        <v>0</v>
      </c>
      <c r="O26" s="11" t="str">
        <f aca="false">IF($A26="","",IF(MAX(COUNTIFS(Answers!$A$4:$A$203,$A26,Answers!$B$4:$B$203,"First"),COUNTIFS(Answers!$A$4:$A$203,$A26,Answers!$B$4:$B$203,"Last"))&gt;1,"Two rows for one session: keep one",IF(B26="","No first session",IF(C26="","No last session",""))))</f>
        <v/>
      </c>
    </row>
    <row r="27" customFormat="false" ht="15" hidden="false" customHeight="false" outlineLevel="0" collapsed="false">
      <c r="A27" s="9"/>
      <c r="B27" s="11" t="str">
        <f aca="false">IF(OR($A27="",COUNTIFS(Answers!$A$4:$A$203,$A27,Answers!$B$4:$B$203,"First")=0),"",SUMIFS(Answers!$AA$4:$AA$203,Answers!$A$4:$A$203,$A27,Answers!$B$4:$B$203,"First"))</f>
        <v/>
      </c>
      <c r="C27" s="11" t="str">
        <f aca="false">IF(OR($A27="",COUNTIFS(Answers!$A$4:$A$203,$A27,Answers!$B$4:$B$203,"Last")=0),"",SUMIFS(Answers!$AA$4:$AA$203,Answers!$A$4:$A$203,$A27,Answers!$B$4:$B$203,"Last"))</f>
        <v/>
      </c>
      <c r="D27" s="11" t="str">
        <f aca="false">IF(N27=1,C27-B27,"")</f>
        <v/>
      </c>
      <c r="E27" s="19" t="str">
        <f aca="false">IF(OR(N27&lt;&gt;1,B27=16),"",(C27-B27)/(16-B27))</f>
        <v/>
      </c>
      <c r="F27" s="11" t="str">
        <f aca="false">IF(OR($A27="",COUNTIFS(Answers!$A$4:$A$203,$A27,Answers!$B$4:$B$203,"First")=0),"",SUMIFS(Answers!$AB$4:$AB$203,Answers!$A$4:$A$203,$A27,Answers!$B$4:$B$203,"First"))</f>
        <v/>
      </c>
      <c r="G27" s="11" t="str">
        <f aca="false">IF(OR($A27="",COUNTIFS(Answers!$A$4:$A$203,$A27,Answers!$B$4:$B$203,"Last")=0),"",SUMIFS(Answers!$AB$4:$AB$203,Answers!$A$4:$A$203,$A27,Answers!$B$4:$B$203,"Last"))</f>
        <v/>
      </c>
      <c r="H27" s="11" t="str">
        <f aca="false">IF(OR($A27="",COUNTIFS(Answers!$A$4:$A$203,$A27,Answers!$B$4:$B$203,"First")=0),"",SUMIFS(Answers!$AC$4:$AC$203,Answers!$A$4:$A$203,$A27,Answers!$B$4:$B$203,"First"))</f>
        <v/>
      </c>
      <c r="I27" s="11" t="str">
        <f aca="false">IF(OR($A27="",COUNTIFS(Answers!$A$4:$A$203,$A27,Answers!$B$4:$B$203,"Last")=0),"",SUMIFS(Answers!$AC$4:$AC$203,Answers!$A$4:$A$203,$A27,Answers!$B$4:$B$203,"Last"))</f>
        <v/>
      </c>
      <c r="J27" s="12" t="str">
        <f aca="false">IF(OR($A27="",COUNTIFS(Answers!$A$4:$A$203,$A27,Answers!$B$4:$B$203,"First")=0),"",SUMIFS(Answers!$AD$4:$AD$203,Answers!$A$4:$A$203,$A27,Answers!$B$4:$B$203,"First"))</f>
        <v/>
      </c>
      <c r="K27" s="12" t="str">
        <f aca="false">IF(OR($A27="",COUNTIFS(Answers!$A$4:$A$203,$A27,Answers!$B$4:$B$203,"Last")=0),"",SUMIFS(Answers!$AD$4:$AD$203,Answers!$A$4:$A$203,$A27,Answers!$B$4:$B$203,"Last"))</f>
        <v/>
      </c>
      <c r="L27" s="12" t="str">
        <f aca="false">IF(OR($A27="",COUNTIFS(Answers!$A$4:$A$203,$A27,Answers!$B$4:$B$203,"First")=0),"",SUMIFS(Answers!$AE$4:$AE$203,Answers!$A$4:$A$203,$A27,Answers!$B$4:$B$203,"First"))</f>
        <v/>
      </c>
      <c r="M27" s="12" t="str">
        <f aca="false">IF(OR($A27="",COUNTIFS(Answers!$A$4:$A$203,$A27,Answers!$B$4:$B$203,"Last")=0),"",SUMIFS(Answers!$AE$4:$AE$203,Answers!$A$4:$A$203,$A27,Answers!$B$4:$B$203,"Last"))</f>
        <v/>
      </c>
      <c r="N27" s="11" t="n">
        <f aca="false">IF(AND(B27&lt;&gt;"",C27&lt;&gt;""),1,0)</f>
        <v>0</v>
      </c>
      <c r="O27" s="11" t="str">
        <f aca="false">IF($A27="","",IF(MAX(COUNTIFS(Answers!$A$4:$A$203,$A27,Answers!$B$4:$B$203,"First"),COUNTIFS(Answers!$A$4:$A$203,$A27,Answers!$B$4:$B$203,"Last"))&gt;1,"Two rows for one session: keep one",IF(B27="","No first session",IF(C27="","No last session",""))))</f>
        <v/>
      </c>
    </row>
    <row r="28" customFormat="false" ht="15" hidden="false" customHeight="false" outlineLevel="0" collapsed="false">
      <c r="A28" s="9"/>
      <c r="B28" s="11" t="str">
        <f aca="false">IF(OR($A28="",COUNTIFS(Answers!$A$4:$A$203,$A28,Answers!$B$4:$B$203,"First")=0),"",SUMIFS(Answers!$AA$4:$AA$203,Answers!$A$4:$A$203,$A28,Answers!$B$4:$B$203,"First"))</f>
        <v/>
      </c>
      <c r="C28" s="11" t="str">
        <f aca="false">IF(OR($A28="",COUNTIFS(Answers!$A$4:$A$203,$A28,Answers!$B$4:$B$203,"Last")=0),"",SUMIFS(Answers!$AA$4:$AA$203,Answers!$A$4:$A$203,$A28,Answers!$B$4:$B$203,"Last"))</f>
        <v/>
      </c>
      <c r="D28" s="11" t="str">
        <f aca="false">IF(N28=1,C28-B28,"")</f>
        <v/>
      </c>
      <c r="E28" s="19" t="str">
        <f aca="false">IF(OR(N28&lt;&gt;1,B28=16),"",(C28-B28)/(16-B28))</f>
        <v/>
      </c>
      <c r="F28" s="11" t="str">
        <f aca="false">IF(OR($A28="",COUNTIFS(Answers!$A$4:$A$203,$A28,Answers!$B$4:$B$203,"First")=0),"",SUMIFS(Answers!$AB$4:$AB$203,Answers!$A$4:$A$203,$A28,Answers!$B$4:$B$203,"First"))</f>
        <v/>
      </c>
      <c r="G28" s="11" t="str">
        <f aca="false">IF(OR($A28="",COUNTIFS(Answers!$A$4:$A$203,$A28,Answers!$B$4:$B$203,"Last")=0),"",SUMIFS(Answers!$AB$4:$AB$203,Answers!$A$4:$A$203,$A28,Answers!$B$4:$B$203,"Last"))</f>
        <v/>
      </c>
      <c r="H28" s="11" t="str">
        <f aca="false">IF(OR($A28="",COUNTIFS(Answers!$A$4:$A$203,$A28,Answers!$B$4:$B$203,"First")=0),"",SUMIFS(Answers!$AC$4:$AC$203,Answers!$A$4:$A$203,$A28,Answers!$B$4:$B$203,"First"))</f>
        <v/>
      </c>
      <c r="I28" s="11" t="str">
        <f aca="false">IF(OR($A28="",COUNTIFS(Answers!$A$4:$A$203,$A28,Answers!$B$4:$B$203,"Last")=0),"",SUMIFS(Answers!$AC$4:$AC$203,Answers!$A$4:$A$203,$A28,Answers!$B$4:$B$203,"Last"))</f>
        <v/>
      </c>
      <c r="J28" s="12" t="str">
        <f aca="false">IF(OR($A28="",COUNTIFS(Answers!$A$4:$A$203,$A28,Answers!$B$4:$B$203,"First")=0),"",SUMIFS(Answers!$AD$4:$AD$203,Answers!$A$4:$A$203,$A28,Answers!$B$4:$B$203,"First"))</f>
        <v/>
      </c>
      <c r="K28" s="12" t="str">
        <f aca="false">IF(OR($A28="",COUNTIFS(Answers!$A$4:$A$203,$A28,Answers!$B$4:$B$203,"Last")=0),"",SUMIFS(Answers!$AD$4:$AD$203,Answers!$A$4:$A$203,$A28,Answers!$B$4:$B$203,"Last"))</f>
        <v/>
      </c>
      <c r="L28" s="12" t="str">
        <f aca="false">IF(OR($A28="",COUNTIFS(Answers!$A$4:$A$203,$A28,Answers!$B$4:$B$203,"First")=0),"",SUMIFS(Answers!$AE$4:$AE$203,Answers!$A$4:$A$203,$A28,Answers!$B$4:$B$203,"First"))</f>
        <v/>
      </c>
      <c r="M28" s="12" t="str">
        <f aca="false">IF(OR($A28="",COUNTIFS(Answers!$A$4:$A$203,$A28,Answers!$B$4:$B$203,"Last")=0),"",SUMIFS(Answers!$AE$4:$AE$203,Answers!$A$4:$A$203,$A28,Answers!$B$4:$B$203,"Last"))</f>
        <v/>
      </c>
      <c r="N28" s="11" t="n">
        <f aca="false">IF(AND(B28&lt;&gt;"",C28&lt;&gt;""),1,0)</f>
        <v>0</v>
      </c>
      <c r="O28" s="11" t="str">
        <f aca="false">IF($A28="","",IF(MAX(COUNTIFS(Answers!$A$4:$A$203,$A28,Answers!$B$4:$B$203,"First"),COUNTIFS(Answers!$A$4:$A$203,$A28,Answers!$B$4:$B$203,"Last"))&gt;1,"Two rows for one session: keep one",IF(B28="","No first session",IF(C28="","No last session",""))))</f>
        <v/>
      </c>
    </row>
    <row r="29" customFormat="false" ht="15" hidden="false" customHeight="false" outlineLevel="0" collapsed="false">
      <c r="A29" s="9"/>
      <c r="B29" s="11" t="str">
        <f aca="false">IF(OR($A29="",COUNTIFS(Answers!$A$4:$A$203,$A29,Answers!$B$4:$B$203,"First")=0),"",SUMIFS(Answers!$AA$4:$AA$203,Answers!$A$4:$A$203,$A29,Answers!$B$4:$B$203,"First"))</f>
        <v/>
      </c>
      <c r="C29" s="11" t="str">
        <f aca="false">IF(OR($A29="",COUNTIFS(Answers!$A$4:$A$203,$A29,Answers!$B$4:$B$203,"Last")=0),"",SUMIFS(Answers!$AA$4:$AA$203,Answers!$A$4:$A$203,$A29,Answers!$B$4:$B$203,"Last"))</f>
        <v/>
      </c>
      <c r="D29" s="11" t="str">
        <f aca="false">IF(N29=1,C29-B29,"")</f>
        <v/>
      </c>
      <c r="E29" s="19" t="str">
        <f aca="false">IF(OR(N29&lt;&gt;1,B29=16),"",(C29-B29)/(16-B29))</f>
        <v/>
      </c>
      <c r="F29" s="11" t="str">
        <f aca="false">IF(OR($A29="",COUNTIFS(Answers!$A$4:$A$203,$A29,Answers!$B$4:$B$203,"First")=0),"",SUMIFS(Answers!$AB$4:$AB$203,Answers!$A$4:$A$203,$A29,Answers!$B$4:$B$203,"First"))</f>
        <v/>
      </c>
      <c r="G29" s="11" t="str">
        <f aca="false">IF(OR($A29="",COUNTIFS(Answers!$A$4:$A$203,$A29,Answers!$B$4:$B$203,"Last")=0),"",SUMIFS(Answers!$AB$4:$AB$203,Answers!$A$4:$A$203,$A29,Answers!$B$4:$B$203,"Last"))</f>
        <v/>
      </c>
      <c r="H29" s="11" t="str">
        <f aca="false">IF(OR($A29="",COUNTIFS(Answers!$A$4:$A$203,$A29,Answers!$B$4:$B$203,"First")=0),"",SUMIFS(Answers!$AC$4:$AC$203,Answers!$A$4:$A$203,$A29,Answers!$B$4:$B$203,"First"))</f>
        <v/>
      </c>
      <c r="I29" s="11" t="str">
        <f aca="false">IF(OR($A29="",COUNTIFS(Answers!$A$4:$A$203,$A29,Answers!$B$4:$B$203,"Last")=0),"",SUMIFS(Answers!$AC$4:$AC$203,Answers!$A$4:$A$203,$A29,Answers!$B$4:$B$203,"Last"))</f>
        <v/>
      </c>
      <c r="J29" s="12" t="str">
        <f aca="false">IF(OR($A29="",COUNTIFS(Answers!$A$4:$A$203,$A29,Answers!$B$4:$B$203,"First")=0),"",SUMIFS(Answers!$AD$4:$AD$203,Answers!$A$4:$A$203,$A29,Answers!$B$4:$B$203,"First"))</f>
        <v/>
      </c>
      <c r="K29" s="12" t="str">
        <f aca="false">IF(OR($A29="",COUNTIFS(Answers!$A$4:$A$203,$A29,Answers!$B$4:$B$203,"Last")=0),"",SUMIFS(Answers!$AD$4:$AD$203,Answers!$A$4:$A$203,$A29,Answers!$B$4:$B$203,"Last"))</f>
        <v/>
      </c>
      <c r="L29" s="12" t="str">
        <f aca="false">IF(OR($A29="",COUNTIFS(Answers!$A$4:$A$203,$A29,Answers!$B$4:$B$203,"First")=0),"",SUMIFS(Answers!$AE$4:$AE$203,Answers!$A$4:$A$203,$A29,Answers!$B$4:$B$203,"First"))</f>
        <v/>
      </c>
      <c r="M29" s="12" t="str">
        <f aca="false">IF(OR($A29="",COUNTIFS(Answers!$A$4:$A$203,$A29,Answers!$B$4:$B$203,"Last")=0),"",SUMIFS(Answers!$AE$4:$AE$203,Answers!$A$4:$A$203,$A29,Answers!$B$4:$B$203,"Last"))</f>
        <v/>
      </c>
      <c r="N29" s="11" t="n">
        <f aca="false">IF(AND(B29&lt;&gt;"",C29&lt;&gt;""),1,0)</f>
        <v>0</v>
      </c>
      <c r="O29" s="11" t="str">
        <f aca="false">IF($A29="","",IF(MAX(COUNTIFS(Answers!$A$4:$A$203,$A29,Answers!$B$4:$B$203,"First"),COUNTIFS(Answers!$A$4:$A$203,$A29,Answers!$B$4:$B$203,"Last"))&gt;1,"Two rows for one session: keep one",IF(B29="","No first session",IF(C29="","No last session",""))))</f>
        <v/>
      </c>
    </row>
    <row r="30" customFormat="false" ht="15" hidden="false" customHeight="false" outlineLevel="0" collapsed="false">
      <c r="A30" s="9"/>
      <c r="B30" s="11" t="str">
        <f aca="false">IF(OR($A30="",COUNTIFS(Answers!$A$4:$A$203,$A30,Answers!$B$4:$B$203,"First")=0),"",SUMIFS(Answers!$AA$4:$AA$203,Answers!$A$4:$A$203,$A30,Answers!$B$4:$B$203,"First"))</f>
        <v/>
      </c>
      <c r="C30" s="11" t="str">
        <f aca="false">IF(OR($A30="",COUNTIFS(Answers!$A$4:$A$203,$A30,Answers!$B$4:$B$203,"Last")=0),"",SUMIFS(Answers!$AA$4:$AA$203,Answers!$A$4:$A$203,$A30,Answers!$B$4:$B$203,"Last"))</f>
        <v/>
      </c>
      <c r="D30" s="11" t="str">
        <f aca="false">IF(N30=1,C30-B30,"")</f>
        <v/>
      </c>
      <c r="E30" s="19" t="str">
        <f aca="false">IF(OR(N30&lt;&gt;1,B30=16),"",(C30-B30)/(16-B30))</f>
        <v/>
      </c>
      <c r="F30" s="11" t="str">
        <f aca="false">IF(OR($A30="",COUNTIFS(Answers!$A$4:$A$203,$A30,Answers!$B$4:$B$203,"First")=0),"",SUMIFS(Answers!$AB$4:$AB$203,Answers!$A$4:$A$203,$A30,Answers!$B$4:$B$203,"First"))</f>
        <v/>
      </c>
      <c r="G30" s="11" t="str">
        <f aca="false">IF(OR($A30="",COUNTIFS(Answers!$A$4:$A$203,$A30,Answers!$B$4:$B$203,"Last")=0),"",SUMIFS(Answers!$AB$4:$AB$203,Answers!$A$4:$A$203,$A30,Answers!$B$4:$B$203,"Last"))</f>
        <v/>
      </c>
      <c r="H30" s="11" t="str">
        <f aca="false">IF(OR($A30="",COUNTIFS(Answers!$A$4:$A$203,$A30,Answers!$B$4:$B$203,"First")=0),"",SUMIFS(Answers!$AC$4:$AC$203,Answers!$A$4:$A$203,$A30,Answers!$B$4:$B$203,"First"))</f>
        <v/>
      </c>
      <c r="I30" s="11" t="str">
        <f aca="false">IF(OR($A30="",COUNTIFS(Answers!$A$4:$A$203,$A30,Answers!$B$4:$B$203,"Last")=0),"",SUMIFS(Answers!$AC$4:$AC$203,Answers!$A$4:$A$203,$A30,Answers!$B$4:$B$203,"Last"))</f>
        <v/>
      </c>
      <c r="J30" s="12" t="str">
        <f aca="false">IF(OR($A30="",COUNTIFS(Answers!$A$4:$A$203,$A30,Answers!$B$4:$B$203,"First")=0),"",SUMIFS(Answers!$AD$4:$AD$203,Answers!$A$4:$A$203,$A30,Answers!$B$4:$B$203,"First"))</f>
        <v/>
      </c>
      <c r="K30" s="12" t="str">
        <f aca="false">IF(OR($A30="",COUNTIFS(Answers!$A$4:$A$203,$A30,Answers!$B$4:$B$203,"Last")=0),"",SUMIFS(Answers!$AD$4:$AD$203,Answers!$A$4:$A$203,$A30,Answers!$B$4:$B$203,"Last"))</f>
        <v/>
      </c>
      <c r="L30" s="12" t="str">
        <f aca="false">IF(OR($A30="",COUNTIFS(Answers!$A$4:$A$203,$A30,Answers!$B$4:$B$203,"First")=0),"",SUMIFS(Answers!$AE$4:$AE$203,Answers!$A$4:$A$203,$A30,Answers!$B$4:$B$203,"First"))</f>
        <v/>
      </c>
      <c r="M30" s="12" t="str">
        <f aca="false">IF(OR($A30="",COUNTIFS(Answers!$A$4:$A$203,$A30,Answers!$B$4:$B$203,"Last")=0),"",SUMIFS(Answers!$AE$4:$AE$203,Answers!$A$4:$A$203,$A30,Answers!$B$4:$B$203,"Last"))</f>
        <v/>
      </c>
      <c r="N30" s="11" t="n">
        <f aca="false">IF(AND(B30&lt;&gt;"",C30&lt;&gt;""),1,0)</f>
        <v>0</v>
      </c>
      <c r="O30" s="11" t="str">
        <f aca="false">IF($A30="","",IF(MAX(COUNTIFS(Answers!$A$4:$A$203,$A30,Answers!$B$4:$B$203,"First"),COUNTIFS(Answers!$A$4:$A$203,$A30,Answers!$B$4:$B$203,"Last"))&gt;1,"Two rows for one session: keep one",IF(B30="","No first session",IF(C30="","No last session",""))))</f>
        <v/>
      </c>
    </row>
    <row r="31" customFormat="false" ht="15" hidden="false" customHeight="false" outlineLevel="0" collapsed="false">
      <c r="A31" s="9"/>
      <c r="B31" s="11" t="str">
        <f aca="false">IF(OR($A31="",COUNTIFS(Answers!$A$4:$A$203,$A31,Answers!$B$4:$B$203,"First")=0),"",SUMIFS(Answers!$AA$4:$AA$203,Answers!$A$4:$A$203,$A31,Answers!$B$4:$B$203,"First"))</f>
        <v/>
      </c>
      <c r="C31" s="11" t="str">
        <f aca="false">IF(OR($A31="",COUNTIFS(Answers!$A$4:$A$203,$A31,Answers!$B$4:$B$203,"Last")=0),"",SUMIFS(Answers!$AA$4:$AA$203,Answers!$A$4:$A$203,$A31,Answers!$B$4:$B$203,"Last"))</f>
        <v/>
      </c>
      <c r="D31" s="11" t="str">
        <f aca="false">IF(N31=1,C31-B31,"")</f>
        <v/>
      </c>
      <c r="E31" s="19" t="str">
        <f aca="false">IF(OR(N31&lt;&gt;1,B31=16),"",(C31-B31)/(16-B31))</f>
        <v/>
      </c>
      <c r="F31" s="11" t="str">
        <f aca="false">IF(OR($A31="",COUNTIFS(Answers!$A$4:$A$203,$A31,Answers!$B$4:$B$203,"First")=0),"",SUMIFS(Answers!$AB$4:$AB$203,Answers!$A$4:$A$203,$A31,Answers!$B$4:$B$203,"First"))</f>
        <v/>
      </c>
      <c r="G31" s="11" t="str">
        <f aca="false">IF(OR($A31="",COUNTIFS(Answers!$A$4:$A$203,$A31,Answers!$B$4:$B$203,"Last")=0),"",SUMIFS(Answers!$AB$4:$AB$203,Answers!$A$4:$A$203,$A31,Answers!$B$4:$B$203,"Last"))</f>
        <v/>
      </c>
      <c r="H31" s="11" t="str">
        <f aca="false">IF(OR($A31="",COUNTIFS(Answers!$A$4:$A$203,$A31,Answers!$B$4:$B$203,"First")=0),"",SUMIFS(Answers!$AC$4:$AC$203,Answers!$A$4:$A$203,$A31,Answers!$B$4:$B$203,"First"))</f>
        <v/>
      </c>
      <c r="I31" s="11" t="str">
        <f aca="false">IF(OR($A31="",COUNTIFS(Answers!$A$4:$A$203,$A31,Answers!$B$4:$B$203,"Last")=0),"",SUMIFS(Answers!$AC$4:$AC$203,Answers!$A$4:$A$203,$A31,Answers!$B$4:$B$203,"Last"))</f>
        <v/>
      </c>
      <c r="J31" s="12" t="str">
        <f aca="false">IF(OR($A31="",COUNTIFS(Answers!$A$4:$A$203,$A31,Answers!$B$4:$B$203,"First")=0),"",SUMIFS(Answers!$AD$4:$AD$203,Answers!$A$4:$A$203,$A31,Answers!$B$4:$B$203,"First"))</f>
        <v/>
      </c>
      <c r="K31" s="12" t="str">
        <f aca="false">IF(OR($A31="",COUNTIFS(Answers!$A$4:$A$203,$A31,Answers!$B$4:$B$203,"Last")=0),"",SUMIFS(Answers!$AD$4:$AD$203,Answers!$A$4:$A$203,$A31,Answers!$B$4:$B$203,"Last"))</f>
        <v/>
      </c>
      <c r="L31" s="12" t="str">
        <f aca="false">IF(OR($A31="",COUNTIFS(Answers!$A$4:$A$203,$A31,Answers!$B$4:$B$203,"First")=0),"",SUMIFS(Answers!$AE$4:$AE$203,Answers!$A$4:$A$203,$A31,Answers!$B$4:$B$203,"First"))</f>
        <v/>
      </c>
      <c r="M31" s="12" t="str">
        <f aca="false">IF(OR($A31="",COUNTIFS(Answers!$A$4:$A$203,$A31,Answers!$B$4:$B$203,"Last")=0),"",SUMIFS(Answers!$AE$4:$AE$203,Answers!$A$4:$A$203,$A31,Answers!$B$4:$B$203,"Last"))</f>
        <v/>
      </c>
      <c r="N31" s="11" t="n">
        <f aca="false">IF(AND(B31&lt;&gt;"",C31&lt;&gt;""),1,0)</f>
        <v>0</v>
      </c>
      <c r="O31" s="11" t="str">
        <f aca="false">IF($A31="","",IF(MAX(COUNTIFS(Answers!$A$4:$A$203,$A31,Answers!$B$4:$B$203,"First"),COUNTIFS(Answers!$A$4:$A$203,$A31,Answers!$B$4:$B$203,"Last"))&gt;1,"Two rows for one session: keep one",IF(B31="","No first session",IF(C31="","No last session",""))))</f>
        <v/>
      </c>
    </row>
    <row r="32" customFormat="false" ht="15" hidden="false" customHeight="false" outlineLevel="0" collapsed="false">
      <c r="A32" s="9"/>
      <c r="B32" s="11" t="str">
        <f aca="false">IF(OR($A32="",COUNTIFS(Answers!$A$4:$A$203,$A32,Answers!$B$4:$B$203,"First")=0),"",SUMIFS(Answers!$AA$4:$AA$203,Answers!$A$4:$A$203,$A32,Answers!$B$4:$B$203,"First"))</f>
        <v/>
      </c>
      <c r="C32" s="11" t="str">
        <f aca="false">IF(OR($A32="",COUNTIFS(Answers!$A$4:$A$203,$A32,Answers!$B$4:$B$203,"Last")=0),"",SUMIFS(Answers!$AA$4:$AA$203,Answers!$A$4:$A$203,$A32,Answers!$B$4:$B$203,"Last"))</f>
        <v/>
      </c>
      <c r="D32" s="11" t="str">
        <f aca="false">IF(N32=1,C32-B32,"")</f>
        <v/>
      </c>
      <c r="E32" s="19" t="str">
        <f aca="false">IF(OR(N32&lt;&gt;1,B32=16),"",(C32-B32)/(16-B32))</f>
        <v/>
      </c>
      <c r="F32" s="11" t="str">
        <f aca="false">IF(OR($A32="",COUNTIFS(Answers!$A$4:$A$203,$A32,Answers!$B$4:$B$203,"First")=0),"",SUMIFS(Answers!$AB$4:$AB$203,Answers!$A$4:$A$203,$A32,Answers!$B$4:$B$203,"First"))</f>
        <v/>
      </c>
      <c r="G32" s="11" t="str">
        <f aca="false">IF(OR($A32="",COUNTIFS(Answers!$A$4:$A$203,$A32,Answers!$B$4:$B$203,"Last")=0),"",SUMIFS(Answers!$AB$4:$AB$203,Answers!$A$4:$A$203,$A32,Answers!$B$4:$B$203,"Last"))</f>
        <v/>
      </c>
      <c r="H32" s="11" t="str">
        <f aca="false">IF(OR($A32="",COUNTIFS(Answers!$A$4:$A$203,$A32,Answers!$B$4:$B$203,"First")=0),"",SUMIFS(Answers!$AC$4:$AC$203,Answers!$A$4:$A$203,$A32,Answers!$B$4:$B$203,"First"))</f>
        <v/>
      </c>
      <c r="I32" s="11" t="str">
        <f aca="false">IF(OR($A32="",COUNTIFS(Answers!$A$4:$A$203,$A32,Answers!$B$4:$B$203,"Last")=0),"",SUMIFS(Answers!$AC$4:$AC$203,Answers!$A$4:$A$203,$A32,Answers!$B$4:$B$203,"Last"))</f>
        <v/>
      </c>
      <c r="J32" s="12" t="str">
        <f aca="false">IF(OR($A32="",COUNTIFS(Answers!$A$4:$A$203,$A32,Answers!$B$4:$B$203,"First")=0),"",SUMIFS(Answers!$AD$4:$AD$203,Answers!$A$4:$A$203,$A32,Answers!$B$4:$B$203,"First"))</f>
        <v/>
      </c>
      <c r="K32" s="12" t="str">
        <f aca="false">IF(OR($A32="",COUNTIFS(Answers!$A$4:$A$203,$A32,Answers!$B$4:$B$203,"Last")=0),"",SUMIFS(Answers!$AD$4:$AD$203,Answers!$A$4:$A$203,$A32,Answers!$B$4:$B$203,"Last"))</f>
        <v/>
      </c>
      <c r="L32" s="12" t="str">
        <f aca="false">IF(OR($A32="",COUNTIFS(Answers!$A$4:$A$203,$A32,Answers!$B$4:$B$203,"First")=0),"",SUMIFS(Answers!$AE$4:$AE$203,Answers!$A$4:$A$203,$A32,Answers!$B$4:$B$203,"First"))</f>
        <v/>
      </c>
      <c r="M32" s="12" t="str">
        <f aca="false">IF(OR($A32="",COUNTIFS(Answers!$A$4:$A$203,$A32,Answers!$B$4:$B$203,"Last")=0),"",SUMIFS(Answers!$AE$4:$AE$203,Answers!$A$4:$A$203,$A32,Answers!$B$4:$B$203,"Last"))</f>
        <v/>
      </c>
      <c r="N32" s="11" t="n">
        <f aca="false">IF(AND(B32&lt;&gt;"",C32&lt;&gt;""),1,0)</f>
        <v>0</v>
      </c>
      <c r="O32" s="11" t="str">
        <f aca="false">IF($A32="","",IF(MAX(COUNTIFS(Answers!$A$4:$A$203,$A32,Answers!$B$4:$B$203,"First"),COUNTIFS(Answers!$A$4:$A$203,$A32,Answers!$B$4:$B$203,"Last"))&gt;1,"Two rows for one session: keep one",IF(B32="","No first session",IF(C32="","No last session",""))))</f>
        <v/>
      </c>
    </row>
    <row r="33" customFormat="false" ht="15" hidden="false" customHeight="false" outlineLevel="0" collapsed="false">
      <c r="A33" s="9"/>
      <c r="B33" s="11" t="str">
        <f aca="false">IF(OR($A33="",COUNTIFS(Answers!$A$4:$A$203,$A33,Answers!$B$4:$B$203,"First")=0),"",SUMIFS(Answers!$AA$4:$AA$203,Answers!$A$4:$A$203,$A33,Answers!$B$4:$B$203,"First"))</f>
        <v/>
      </c>
      <c r="C33" s="11" t="str">
        <f aca="false">IF(OR($A33="",COUNTIFS(Answers!$A$4:$A$203,$A33,Answers!$B$4:$B$203,"Last")=0),"",SUMIFS(Answers!$AA$4:$AA$203,Answers!$A$4:$A$203,$A33,Answers!$B$4:$B$203,"Last"))</f>
        <v/>
      </c>
      <c r="D33" s="11" t="str">
        <f aca="false">IF(N33=1,C33-B33,"")</f>
        <v/>
      </c>
      <c r="E33" s="19" t="str">
        <f aca="false">IF(OR(N33&lt;&gt;1,B33=16),"",(C33-B33)/(16-B33))</f>
        <v/>
      </c>
      <c r="F33" s="11" t="str">
        <f aca="false">IF(OR($A33="",COUNTIFS(Answers!$A$4:$A$203,$A33,Answers!$B$4:$B$203,"First")=0),"",SUMIFS(Answers!$AB$4:$AB$203,Answers!$A$4:$A$203,$A33,Answers!$B$4:$B$203,"First"))</f>
        <v/>
      </c>
      <c r="G33" s="11" t="str">
        <f aca="false">IF(OR($A33="",COUNTIFS(Answers!$A$4:$A$203,$A33,Answers!$B$4:$B$203,"Last")=0),"",SUMIFS(Answers!$AB$4:$AB$203,Answers!$A$4:$A$203,$A33,Answers!$B$4:$B$203,"Last"))</f>
        <v/>
      </c>
      <c r="H33" s="11" t="str">
        <f aca="false">IF(OR($A33="",COUNTIFS(Answers!$A$4:$A$203,$A33,Answers!$B$4:$B$203,"First")=0),"",SUMIFS(Answers!$AC$4:$AC$203,Answers!$A$4:$A$203,$A33,Answers!$B$4:$B$203,"First"))</f>
        <v/>
      </c>
      <c r="I33" s="11" t="str">
        <f aca="false">IF(OR($A33="",COUNTIFS(Answers!$A$4:$A$203,$A33,Answers!$B$4:$B$203,"Last")=0),"",SUMIFS(Answers!$AC$4:$AC$203,Answers!$A$4:$A$203,$A33,Answers!$B$4:$B$203,"Last"))</f>
        <v/>
      </c>
      <c r="J33" s="12" t="str">
        <f aca="false">IF(OR($A33="",COUNTIFS(Answers!$A$4:$A$203,$A33,Answers!$B$4:$B$203,"First")=0),"",SUMIFS(Answers!$AD$4:$AD$203,Answers!$A$4:$A$203,$A33,Answers!$B$4:$B$203,"First"))</f>
        <v/>
      </c>
      <c r="K33" s="12" t="str">
        <f aca="false">IF(OR($A33="",COUNTIFS(Answers!$A$4:$A$203,$A33,Answers!$B$4:$B$203,"Last")=0),"",SUMIFS(Answers!$AD$4:$AD$203,Answers!$A$4:$A$203,$A33,Answers!$B$4:$B$203,"Last"))</f>
        <v/>
      </c>
      <c r="L33" s="12" t="str">
        <f aca="false">IF(OR($A33="",COUNTIFS(Answers!$A$4:$A$203,$A33,Answers!$B$4:$B$203,"First")=0),"",SUMIFS(Answers!$AE$4:$AE$203,Answers!$A$4:$A$203,$A33,Answers!$B$4:$B$203,"First"))</f>
        <v/>
      </c>
      <c r="M33" s="12" t="str">
        <f aca="false">IF(OR($A33="",COUNTIFS(Answers!$A$4:$A$203,$A33,Answers!$B$4:$B$203,"Last")=0),"",SUMIFS(Answers!$AE$4:$AE$203,Answers!$A$4:$A$203,$A33,Answers!$B$4:$B$203,"Last"))</f>
        <v/>
      </c>
      <c r="N33" s="11" t="n">
        <f aca="false">IF(AND(B33&lt;&gt;"",C33&lt;&gt;""),1,0)</f>
        <v>0</v>
      </c>
      <c r="O33" s="11" t="str">
        <f aca="false">IF($A33="","",IF(MAX(COUNTIFS(Answers!$A$4:$A$203,$A33,Answers!$B$4:$B$203,"First"),COUNTIFS(Answers!$A$4:$A$203,$A33,Answers!$B$4:$B$203,"Last"))&gt;1,"Two rows for one session: keep one",IF(B33="","No first session",IF(C33="","No last session",""))))</f>
        <v/>
      </c>
    </row>
    <row r="34" customFormat="false" ht="15" hidden="false" customHeight="false" outlineLevel="0" collapsed="false">
      <c r="A34" s="9"/>
      <c r="B34" s="11" t="str">
        <f aca="false">IF(OR($A34="",COUNTIFS(Answers!$A$4:$A$203,$A34,Answers!$B$4:$B$203,"First")=0),"",SUMIFS(Answers!$AA$4:$AA$203,Answers!$A$4:$A$203,$A34,Answers!$B$4:$B$203,"First"))</f>
        <v/>
      </c>
      <c r="C34" s="11" t="str">
        <f aca="false">IF(OR($A34="",COUNTIFS(Answers!$A$4:$A$203,$A34,Answers!$B$4:$B$203,"Last")=0),"",SUMIFS(Answers!$AA$4:$AA$203,Answers!$A$4:$A$203,$A34,Answers!$B$4:$B$203,"Last"))</f>
        <v/>
      </c>
      <c r="D34" s="11" t="str">
        <f aca="false">IF(N34=1,C34-B34,"")</f>
        <v/>
      </c>
      <c r="E34" s="19" t="str">
        <f aca="false">IF(OR(N34&lt;&gt;1,B34=16),"",(C34-B34)/(16-B34))</f>
        <v/>
      </c>
      <c r="F34" s="11" t="str">
        <f aca="false">IF(OR($A34="",COUNTIFS(Answers!$A$4:$A$203,$A34,Answers!$B$4:$B$203,"First")=0),"",SUMIFS(Answers!$AB$4:$AB$203,Answers!$A$4:$A$203,$A34,Answers!$B$4:$B$203,"First"))</f>
        <v/>
      </c>
      <c r="G34" s="11" t="str">
        <f aca="false">IF(OR($A34="",COUNTIFS(Answers!$A$4:$A$203,$A34,Answers!$B$4:$B$203,"Last")=0),"",SUMIFS(Answers!$AB$4:$AB$203,Answers!$A$4:$A$203,$A34,Answers!$B$4:$B$203,"Last"))</f>
        <v/>
      </c>
      <c r="H34" s="11" t="str">
        <f aca="false">IF(OR($A34="",COUNTIFS(Answers!$A$4:$A$203,$A34,Answers!$B$4:$B$203,"First")=0),"",SUMIFS(Answers!$AC$4:$AC$203,Answers!$A$4:$A$203,$A34,Answers!$B$4:$B$203,"First"))</f>
        <v/>
      </c>
      <c r="I34" s="11" t="str">
        <f aca="false">IF(OR($A34="",COUNTIFS(Answers!$A$4:$A$203,$A34,Answers!$B$4:$B$203,"Last")=0),"",SUMIFS(Answers!$AC$4:$AC$203,Answers!$A$4:$A$203,$A34,Answers!$B$4:$B$203,"Last"))</f>
        <v/>
      </c>
      <c r="J34" s="12" t="str">
        <f aca="false">IF(OR($A34="",COUNTIFS(Answers!$A$4:$A$203,$A34,Answers!$B$4:$B$203,"First")=0),"",SUMIFS(Answers!$AD$4:$AD$203,Answers!$A$4:$A$203,$A34,Answers!$B$4:$B$203,"First"))</f>
        <v/>
      </c>
      <c r="K34" s="12" t="str">
        <f aca="false">IF(OR($A34="",COUNTIFS(Answers!$A$4:$A$203,$A34,Answers!$B$4:$B$203,"Last")=0),"",SUMIFS(Answers!$AD$4:$AD$203,Answers!$A$4:$A$203,$A34,Answers!$B$4:$B$203,"Last"))</f>
        <v/>
      </c>
      <c r="L34" s="12" t="str">
        <f aca="false">IF(OR($A34="",COUNTIFS(Answers!$A$4:$A$203,$A34,Answers!$B$4:$B$203,"First")=0),"",SUMIFS(Answers!$AE$4:$AE$203,Answers!$A$4:$A$203,$A34,Answers!$B$4:$B$203,"First"))</f>
        <v/>
      </c>
      <c r="M34" s="12" t="str">
        <f aca="false">IF(OR($A34="",COUNTIFS(Answers!$A$4:$A$203,$A34,Answers!$B$4:$B$203,"Last")=0),"",SUMIFS(Answers!$AE$4:$AE$203,Answers!$A$4:$A$203,$A34,Answers!$B$4:$B$203,"Last"))</f>
        <v/>
      </c>
      <c r="N34" s="11" t="n">
        <f aca="false">IF(AND(B34&lt;&gt;"",C34&lt;&gt;""),1,0)</f>
        <v>0</v>
      </c>
      <c r="O34" s="11" t="str">
        <f aca="false">IF($A34="","",IF(MAX(COUNTIFS(Answers!$A$4:$A$203,$A34,Answers!$B$4:$B$203,"First"),COUNTIFS(Answers!$A$4:$A$203,$A34,Answers!$B$4:$B$203,"Last"))&gt;1,"Two rows for one session: keep one",IF(B34="","No first session",IF(C34="","No last session",""))))</f>
        <v/>
      </c>
    </row>
    <row r="35" customFormat="false" ht="15" hidden="false" customHeight="false" outlineLevel="0" collapsed="false">
      <c r="A35" s="9"/>
      <c r="B35" s="11" t="str">
        <f aca="false">IF(OR($A35="",COUNTIFS(Answers!$A$4:$A$203,$A35,Answers!$B$4:$B$203,"First")=0),"",SUMIFS(Answers!$AA$4:$AA$203,Answers!$A$4:$A$203,$A35,Answers!$B$4:$B$203,"First"))</f>
        <v/>
      </c>
      <c r="C35" s="11" t="str">
        <f aca="false">IF(OR($A35="",COUNTIFS(Answers!$A$4:$A$203,$A35,Answers!$B$4:$B$203,"Last")=0),"",SUMIFS(Answers!$AA$4:$AA$203,Answers!$A$4:$A$203,$A35,Answers!$B$4:$B$203,"Last"))</f>
        <v/>
      </c>
      <c r="D35" s="11" t="str">
        <f aca="false">IF(N35=1,C35-B35,"")</f>
        <v/>
      </c>
      <c r="E35" s="19" t="str">
        <f aca="false">IF(OR(N35&lt;&gt;1,B35=16),"",(C35-B35)/(16-B35))</f>
        <v/>
      </c>
      <c r="F35" s="11" t="str">
        <f aca="false">IF(OR($A35="",COUNTIFS(Answers!$A$4:$A$203,$A35,Answers!$B$4:$B$203,"First")=0),"",SUMIFS(Answers!$AB$4:$AB$203,Answers!$A$4:$A$203,$A35,Answers!$B$4:$B$203,"First"))</f>
        <v/>
      </c>
      <c r="G35" s="11" t="str">
        <f aca="false">IF(OR($A35="",COUNTIFS(Answers!$A$4:$A$203,$A35,Answers!$B$4:$B$203,"Last")=0),"",SUMIFS(Answers!$AB$4:$AB$203,Answers!$A$4:$A$203,$A35,Answers!$B$4:$B$203,"Last"))</f>
        <v/>
      </c>
      <c r="H35" s="11" t="str">
        <f aca="false">IF(OR($A35="",COUNTIFS(Answers!$A$4:$A$203,$A35,Answers!$B$4:$B$203,"First")=0),"",SUMIFS(Answers!$AC$4:$AC$203,Answers!$A$4:$A$203,$A35,Answers!$B$4:$B$203,"First"))</f>
        <v/>
      </c>
      <c r="I35" s="11" t="str">
        <f aca="false">IF(OR($A35="",COUNTIFS(Answers!$A$4:$A$203,$A35,Answers!$B$4:$B$203,"Last")=0),"",SUMIFS(Answers!$AC$4:$AC$203,Answers!$A$4:$A$203,$A35,Answers!$B$4:$B$203,"Last"))</f>
        <v/>
      </c>
      <c r="J35" s="12" t="str">
        <f aca="false">IF(OR($A35="",COUNTIFS(Answers!$A$4:$A$203,$A35,Answers!$B$4:$B$203,"First")=0),"",SUMIFS(Answers!$AD$4:$AD$203,Answers!$A$4:$A$203,$A35,Answers!$B$4:$B$203,"First"))</f>
        <v/>
      </c>
      <c r="K35" s="12" t="str">
        <f aca="false">IF(OR($A35="",COUNTIFS(Answers!$A$4:$A$203,$A35,Answers!$B$4:$B$203,"Last")=0),"",SUMIFS(Answers!$AD$4:$AD$203,Answers!$A$4:$A$203,$A35,Answers!$B$4:$B$203,"Last"))</f>
        <v/>
      </c>
      <c r="L35" s="12" t="str">
        <f aca="false">IF(OR($A35="",COUNTIFS(Answers!$A$4:$A$203,$A35,Answers!$B$4:$B$203,"First")=0),"",SUMIFS(Answers!$AE$4:$AE$203,Answers!$A$4:$A$203,$A35,Answers!$B$4:$B$203,"First"))</f>
        <v/>
      </c>
      <c r="M35" s="12" t="str">
        <f aca="false">IF(OR($A35="",COUNTIFS(Answers!$A$4:$A$203,$A35,Answers!$B$4:$B$203,"Last")=0),"",SUMIFS(Answers!$AE$4:$AE$203,Answers!$A$4:$A$203,$A35,Answers!$B$4:$B$203,"Last"))</f>
        <v/>
      </c>
      <c r="N35" s="11" t="n">
        <f aca="false">IF(AND(B35&lt;&gt;"",C35&lt;&gt;""),1,0)</f>
        <v>0</v>
      </c>
      <c r="O35" s="11" t="str">
        <f aca="false">IF($A35="","",IF(MAX(COUNTIFS(Answers!$A$4:$A$203,$A35,Answers!$B$4:$B$203,"First"),COUNTIFS(Answers!$A$4:$A$203,$A35,Answers!$B$4:$B$203,"Last"))&gt;1,"Two rows for one session: keep one",IF(B35="","No first session",IF(C35="","No last session",""))))</f>
        <v/>
      </c>
    </row>
    <row r="36" customFormat="false" ht="15" hidden="false" customHeight="false" outlineLevel="0" collapsed="false">
      <c r="A36" s="9"/>
      <c r="B36" s="11" t="str">
        <f aca="false">IF(OR($A36="",COUNTIFS(Answers!$A$4:$A$203,$A36,Answers!$B$4:$B$203,"First")=0),"",SUMIFS(Answers!$AA$4:$AA$203,Answers!$A$4:$A$203,$A36,Answers!$B$4:$B$203,"First"))</f>
        <v/>
      </c>
      <c r="C36" s="11" t="str">
        <f aca="false">IF(OR($A36="",COUNTIFS(Answers!$A$4:$A$203,$A36,Answers!$B$4:$B$203,"Last")=0),"",SUMIFS(Answers!$AA$4:$AA$203,Answers!$A$4:$A$203,$A36,Answers!$B$4:$B$203,"Last"))</f>
        <v/>
      </c>
      <c r="D36" s="11" t="str">
        <f aca="false">IF(N36=1,C36-B36,"")</f>
        <v/>
      </c>
      <c r="E36" s="19" t="str">
        <f aca="false">IF(OR(N36&lt;&gt;1,B36=16),"",(C36-B36)/(16-B36))</f>
        <v/>
      </c>
      <c r="F36" s="11" t="str">
        <f aca="false">IF(OR($A36="",COUNTIFS(Answers!$A$4:$A$203,$A36,Answers!$B$4:$B$203,"First")=0),"",SUMIFS(Answers!$AB$4:$AB$203,Answers!$A$4:$A$203,$A36,Answers!$B$4:$B$203,"First"))</f>
        <v/>
      </c>
      <c r="G36" s="11" t="str">
        <f aca="false">IF(OR($A36="",COUNTIFS(Answers!$A$4:$A$203,$A36,Answers!$B$4:$B$203,"Last")=0),"",SUMIFS(Answers!$AB$4:$AB$203,Answers!$A$4:$A$203,$A36,Answers!$B$4:$B$203,"Last"))</f>
        <v/>
      </c>
      <c r="H36" s="11" t="str">
        <f aca="false">IF(OR($A36="",COUNTIFS(Answers!$A$4:$A$203,$A36,Answers!$B$4:$B$203,"First")=0),"",SUMIFS(Answers!$AC$4:$AC$203,Answers!$A$4:$A$203,$A36,Answers!$B$4:$B$203,"First"))</f>
        <v/>
      </c>
      <c r="I36" s="11" t="str">
        <f aca="false">IF(OR($A36="",COUNTIFS(Answers!$A$4:$A$203,$A36,Answers!$B$4:$B$203,"Last")=0),"",SUMIFS(Answers!$AC$4:$AC$203,Answers!$A$4:$A$203,$A36,Answers!$B$4:$B$203,"Last"))</f>
        <v/>
      </c>
      <c r="J36" s="12" t="str">
        <f aca="false">IF(OR($A36="",COUNTIFS(Answers!$A$4:$A$203,$A36,Answers!$B$4:$B$203,"First")=0),"",SUMIFS(Answers!$AD$4:$AD$203,Answers!$A$4:$A$203,$A36,Answers!$B$4:$B$203,"First"))</f>
        <v/>
      </c>
      <c r="K36" s="12" t="str">
        <f aca="false">IF(OR($A36="",COUNTIFS(Answers!$A$4:$A$203,$A36,Answers!$B$4:$B$203,"Last")=0),"",SUMIFS(Answers!$AD$4:$AD$203,Answers!$A$4:$A$203,$A36,Answers!$B$4:$B$203,"Last"))</f>
        <v/>
      </c>
      <c r="L36" s="12" t="str">
        <f aca="false">IF(OR($A36="",COUNTIFS(Answers!$A$4:$A$203,$A36,Answers!$B$4:$B$203,"First")=0),"",SUMIFS(Answers!$AE$4:$AE$203,Answers!$A$4:$A$203,$A36,Answers!$B$4:$B$203,"First"))</f>
        <v/>
      </c>
      <c r="M36" s="12" t="str">
        <f aca="false">IF(OR($A36="",COUNTIFS(Answers!$A$4:$A$203,$A36,Answers!$B$4:$B$203,"Last")=0),"",SUMIFS(Answers!$AE$4:$AE$203,Answers!$A$4:$A$203,$A36,Answers!$B$4:$B$203,"Last"))</f>
        <v/>
      </c>
      <c r="N36" s="11" t="n">
        <f aca="false">IF(AND(B36&lt;&gt;"",C36&lt;&gt;""),1,0)</f>
        <v>0</v>
      </c>
      <c r="O36" s="11" t="str">
        <f aca="false">IF($A36="","",IF(MAX(COUNTIFS(Answers!$A$4:$A$203,$A36,Answers!$B$4:$B$203,"First"),COUNTIFS(Answers!$A$4:$A$203,$A36,Answers!$B$4:$B$203,"Last"))&gt;1,"Two rows for one session: keep one",IF(B36="","No first session",IF(C36="","No last session",""))))</f>
        <v/>
      </c>
    </row>
    <row r="37" customFormat="false" ht="15" hidden="false" customHeight="false" outlineLevel="0" collapsed="false">
      <c r="A37" s="9"/>
      <c r="B37" s="11" t="str">
        <f aca="false">IF(OR($A37="",COUNTIFS(Answers!$A$4:$A$203,$A37,Answers!$B$4:$B$203,"First")=0),"",SUMIFS(Answers!$AA$4:$AA$203,Answers!$A$4:$A$203,$A37,Answers!$B$4:$B$203,"First"))</f>
        <v/>
      </c>
      <c r="C37" s="11" t="str">
        <f aca="false">IF(OR($A37="",COUNTIFS(Answers!$A$4:$A$203,$A37,Answers!$B$4:$B$203,"Last")=0),"",SUMIFS(Answers!$AA$4:$AA$203,Answers!$A$4:$A$203,$A37,Answers!$B$4:$B$203,"Last"))</f>
        <v/>
      </c>
      <c r="D37" s="11" t="str">
        <f aca="false">IF(N37=1,C37-B37,"")</f>
        <v/>
      </c>
      <c r="E37" s="19" t="str">
        <f aca="false">IF(OR(N37&lt;&gt;1,B37=16),"",(C37-B37)/(16-B37))</f>
        <v/>
      </c>
      <c r="F37" s="11" t="str">
        <f aca="false">IF(OR($A37="",COUNTIFS(Answers!$A$4:$A$203,$A37,Answers!$B$4:$B$203,"First")=0),"",SUMIFS(Answers!$AB$4:$AB$203,Answers!$A$4:$A$203,$A37,Answers!$B$4:$B$203,"First"))</f>
        <v/>
      </c>
      <c r="G37" s="11" t="str">
        <f aca="false">IF(OR($A37="",COUNTIFS(Answers!$A$4:$A$203,$A37,Answers!$B$4:$B$203,"Last")=0),"",SUMIFS(Answers!$AB$4:$AB$203,Answers!$A$4:$A$203,$A37,Answers!$B$4:$B$203,"Last"))</f>
        <v/>
      </c>
      <c r="H37" s="11" t="str">
        <f aca="false">IF(OR($A37="",COUNTIFS(Answers!$A$4:$A$203,$A37,Answers!$B$4:$B$203,"First")=0),"",SUMIFS(Answers!$AC$4:$AC$203,Answers!$A$4:$A$203,$A37,Answers!$B$4:$B$203,"First"))</f>
        <v/>
      </c>
      <c r="I37" s="11" t="str">
        <f aca="false">IF(OR($A37="",COUNTIFS(Answers!$A$4:$A$203,$A37,Answers!$B$4:$B$203,"Last")=0),"",SUMIFS(Answers!$AC$4:$AC$203,Answers!$A$4:$A$203,$A37,Answers!$B$4:$B$203,"Last"))</f>
        <v/>
      </c>
      <c r="J37" s="12" t="str">
        <f aca="false">IF(OR($A37="",COUNTIFS(Answers!$A$4:$A$203,$A37,Answers!$B$4:$B$203,"First")=0),"",SUMIFS(Answers!$AD$4:$AD$203,Answers!$A$4:$A$203,$A37,Answers!$B$4:$B$203,"First"))</f>
        <v/>
      </c>
      <c r="K37" s="12" t="str">
        <f aca="false">IF(OR($A37="",COUNTIFS(Answers!$A$4:$A$203,$A37,Answers!$B$4:$B$203,"Last")=0),"",SUMIFS(Answers!$AD$4:$AD$203,Answers!$A$4:$A$203,$A37,Answers!$B$4:$B$203,"Last"))</f>
        <v/>
      </c>
      <c r="L37" s="12" t="str">
        <f aca="false">IF(OR($A37="",COUNTIFS(Answers!$A$4:$A$203,$A37,Answers!$B$4:$B$203,"First")=0),"",SUMIFS(Answers!$AE$4:$AE$203,Answers!$A$4:$A$203,$A37,Answers!$B$4:$B$203,"First"))</f>
        <v/>
      </c>
      <c r="M37" s="12" t="str">
        <f aca="false">IF(OR($A37="",COUNTIFS(Answers!$A$4:$A$203,$A37,Answers!$B$4:$B$203,"Last")=0),"",SUMIFS(Answers!$AE$4:$AE$203,Answers!$A$4:$A$203,$A37,Answers!$B$4:$B$203,"Last"))</f>
        <v/>
      </c>
      <c r="N37" s="11" t="n">
        <f aca="false">IF(AND(B37&lt;&gt;"",C37&lt;&gt;""),1,0)</f>
        <v>0</v>
      </c>
      <c r="O37" s="11" t="str">
        <f aca="false">IF($A37="","",IF(MAX(COUNTIFS(Answers!$A$4:$A$203,$A37,Answers!$B$4:$B$203,"First"),COUNTIFS(Answers!$A$4:$A$203,$A37,Answers!$B$4:$B$203,"Last"))&gt;1,"Two rows for one session: keep one",IF(B37="","No first session",IF(C37="","No last session",""))))</f>
        <v/>
      </c>
    </row>
    <row r="38" customFormat="false" ht="15" hidden="false" customHeight="false" outlineLevel="0" collapsed="false">
      <c r="A38" s="9"/>
      <c r="B38" s="11" t="str">
        <f aca="false">IF(OR($A38="",COUNTIFS(Answers!$A$4:$A$203,$A38,Answers!$B$4:$B$203,"First")=0),"",SUMIFS(Answers!$AA$4:$AA$203,Answers!$A$4:$A$203,$A38,Answers!$B$4:$B$203,"First"))</f>
        <v/>
      </c>
      <c r="C38" s="11" t="str">
        <f aca="false">IF(OR($A38="",COUNTIFS(Answers!$A$4:$A$203,$A38,Answers!$B$4:$B$203,"Last")=0),"",SUMIFS(Answers!$AA$4:$AA$203,Answers!$A$4:$A$203,$A38,Answers!$B$4:$B$203,"Last"))</f>
        <v/>
      </c>
      <c r="D38" s="11" t="str">
        <f aca="false">IF(N38=1,C38-B38,"")</f>
        <v/>
      </c>
      <c r="E38" s="19" t="str">
        <f aca="false">IF(OR(N38&lt;&gt;1,B38=16),"",(C38-B38)/(16-B38))</f>
        <v/>
      </c>
      <c r="F38" s="11" t="str">
        <f aca="false">IF(OR($A38="",COUNTIFS(Answers!$A$4:$A$203,$A38,Answers!$B$4:$B$203,"First")=0),"",SUMIFS(Answers!$AB$4:$AB$203,Answers!$A$4:$A$203,$A38,Answers!$B$4:$B$203,"First"))</f>
        <v/>
      </c>
      <c r="G38" s="11" t="str">
        <f aca="false">IF(OR($A38="",COUNTIFS(Answers!$A$4:$A$203,$A38,Answers!$B$4:$B$203,"Last")=0),"",SUMIFS(Answers!$AB$4:$AB$203,Answers!$A$4:$A$203,$A38,Answers!$B$4:$B$203,"Last"))</f>
        <v/>
      </c>
      <c r="H38" s="11" t="str">
        <f aca="false">IF(OR($A38="",COUNTIFS(Answers!$A$4:$A$203,$A38,Answers!$B$4:$B$203,"First")=0),"",SUMIFS(Answers!$AC$4:$AC$203,Answers!$A$4:$A$203,$A38,Answers!$B$4:$B$203,"First"))</f>
        <v/>
      </c>
      <c r="I38" s="11" t="str">
        <f aca="false">IF(OR($A38="",COUNTIFS(Answers!$A$4:$A$203,$A38,Answers!$B$4:$B$203,"Last")=0),"",SUMIFS(Answers!$AC$4:$AC$203,Answers!$A$4:$A$203,$A38,Answers!$B$4:$B$203,"Last"))</f>
        <v/>
      </c>
      <c r="J38" s="12" t="str">
        <f aca="false">IF(OR($A38="",COUNTIFS(Answers!$A$4:$A$203,$A38,Answers!$B$4:$B$203,"First")=0),"",SUMIFS(Answers!$AD$4:$AD$203,Answers!$A$4:$A$203,$A38,Answers!$B$4:$B$203,"First"))</f>
        <v/>
      </c>
      <c r="K38" s="12" t="str">
        <f aca="false">IF(OR($A38="",COUNTIFS(Answers!$A$4:$A$203,$A38,Answers!$B$4:$B$203,"Last")=0),"",SUMIFS(Answers!$AD$4:$AD$203,Answers!$A$4:$A$203,$A38,Answers!$B$4:$B$203,"Last"))</f>
        <v/>
      </c>
      <c r="L38" s="12" t="str">
        <f aca="false">IF(OR($A38="",COUNTIFS(Answers!$A$4:$A$203,$A38,Answers!$B$4:$B$203,"First")=0),"",SUMIFS(Answers!$AE$4:$AE$203,Answers!$A$4:$A$203,$A38,Answers!$B$4:$B$203,"First"))</f>
        <v/>
      </c>
      <c r="M38" s="12" t="str">
        <f aca="false">IF(OR($A38="",COUNTIFS(Answers!$A$4:$A$203,$A38,Answers!$B$4:$B$203,"Last")=0),"",SUMIFS(Answers!$AE$4:$AE$203,Answers!$A$4:$A$203,$A38,Answers!$B$4:$B$203,"Last"))</f>
        <v/>
      </c>
      <c r="N38" s="11" t="n">
        <f aca="false">IF(AND(B38&lt;&gt;"",C38&lt;&gt;""),1,0)</f>
        <v>0</v>
      </c>
      <c r="O38" s="11" t="str">
        <f aca="false">IF($A38="","",IF(MAX(COUNTIFS(Answers!$A$4:$A$203,$A38,Answers!$B$4:$B$203,"First"),COUNTIFS(Answers!$A$4:$A$203,$A38,Answers!$B$4:$B$203,"Last"))&gt;1,"Two rows for one session: keep one",IF(B38="","No first session",IF(C38="","No last session",""))))</f>
        <v/>
      </c>
    </row>
    <row r="39" customFormat="false" ht="15" hidden="false" customHeight="false" outlineLevel="0" collapsed="false">
      <c r="A39" s="9"/>
      <c r="B39" s="11" t="str">
        <f aca="false">IF(OR($A39="",COUNTIFS(Answers!$A$4:$A$203,$A39,Answers!$B$4:$B$203,"First")=0),"",SUMIFS(Answers!$AA$4:$AA$203,Answers!$A$4:$A$203,$A39,Answers!$B$4:$B$203,"First"))</f>
        <v/>
      </c>
      <c r="C39" s="11" t="str">
        <f aca="false">IF(OR($A39="",COUNTIFS(Answers!$A$4:$A$203,$A39,Answers!$B$4:$B$203,"Last")=0),"",SUMIFS(Answers!$AA$4:$AA$203,Answers!$A$4:$A$203,$A39,Answers!$B$4:$B$203,"Last"))</f>
        <v/>
      </c>
      <c r="D39" s="11" t="str">
        <f aca="false">IF(N39=1,C39-B39,"")</f>
        <v/>
      </c>
      <c r="E39" s="19" t="str">
        <f aca="false">IF(OR(N39&lt;&gt;1,B39=16),"",(C39-B39)/(16-B39))</f>
        <v/>
      </c>
      <c r="F39" s="11" t="str">
        <f aca="false">IF(OR($A39="",COUNTIFS(Answers!$A$4:$A$203,$A39,Answers!$B$4:$B$203,"First")=0),"",SUMIFS(Answers!$AB$4:$AB$203,Answers!$A$4:$A$203,$A39,Answers!$B$4:$B$203,"First"))</f>
        <v/>
      </c>
      <c r="G39" s="11" t="str">
        <f aca="false">IF(OR($A39="",COUNTIFS(Answers!$A$4:$A$203,$A39,Answers!$B$4:$B$203,"Last")=0),"",SUMIFS(Answers!$AB$4:$AB$203,Answers!$A$4:$A$203,$A39,Answers!$B$4:$B$203,"Last"))</f>
        <v/>
      </c>
      <c r="H39" s="11" t="str">
        <f aca="false">IF(OR($A39="",COUNTIFS(Answers!$A$4:$A$203,$A39,Answers!$B$4:$B$203,"First")=0),"",SUMIFS(Answers!$AC$4:$AC$203,Answers!$A$4:$A$203,$A39,Answers!$B$4:$B$203,"First"))</f>
        <v/>
      </c>
      <c r="I39" s="11" t="str">
        <f aca="false">IF(OR($A39="",COUNTIFS(Answers!$A$4:$A$203,$A39,Answers!$B$4:$B$203,"Last")=0),"",SUMIFS(Answers!$AC$4:$AC$203,Answers!$A$4:$A$203,$A39,Answers!$B$4:$B$203,"Last"))</f>
        <v/>
      </c>
      <c r="J39" s="12" t="str">
        <f aca="false">IF(OR($A39="",COUNTIFS(Answers!$A$4:$A$203,$A39,Answers!$B$4:$B$203,"First")=0),"",SUMIFS(Answers!$AD$4:$AD$203,Answers!$A$4:$A$203,$A39,Answers!$B$4:$B$203,"First"))</f>
        <v/>
      </c>
      <c r="K39" s="12" t="str">
        <f aca="false">IF(OR($A39="",COUNTIFS(Answers!$A$4:$A$203,$A39,Answers!$B$4:$B$203,"Last")=0),"",SUMIFS(Answers!$AD$4:$AD$203,Answers!$A$4:$A$203,$A39,Answers!$B$4:$B$203,"Last"))</f>
        <v/>
      </c>
      <c r="L39" s="12" t="str">
        <f aca="false">IF(OR($A39="",COUNTIFS(Answers!$A$4:$A$203,$A39,Answers!$B$4:$B$203,"First")=0),"",SUMIFS(Answers!$AE$4:$AE$203,Answers!$A$4:$A$203,$A39,Answers!$B$4:$B$203,"First"))</f>
        <v/>
      </c>
      <c r="M39" s="12" t="str">
        <f aca="false">IF(OR($A39="",COUNTIFS(Answers!$A$4:$A$203,$A39,Answers!$B$4:$B$203,"Last")=0),"",SUMIFS(Answers!$AE$4:$AE$203,Answers!$A$4:$A$203,$A39,Answers!$B$4:$B$203,"Last"))</f>
        <v/>
      </c>
      <c r="N39" s="11" t="n">
        <f aca="false">IF(AND(B39&lt;&gt;"",C39&lt;&gt;""),1,0)</f>
        <v>0</v>
      </c>
      <c r="O39" s="11" t="str">
        <f aca="false">IF($A39="","",IF(MAX(COUNTIFS(Answers!$A$4:$A$203,$A39,Answers!$B$4:$B$203,"First"),COUNTIFS(Answers!$A$4:$A$203,$A39,Answers!$B$4:$B$203,"Last"))&gt;1,"Two rows for one session: keep one",IF(B39="","No first session",IF(C39="","No last session",""))))</f>
        <v/>
      </c>
    </row>
    <row r="40" customFormat="false" ht="15" hidden="false" customHeight="false" outlineLevel="0" collapsed="false">
      <c r="A40" s="9"/>
      <c r="B40" s="11" t="str">
        <f aca="false">IF(OR($A40="",COUNTIFS(Answers!$A$4:$A$203,$A40,Answers!$B$4:$B$203,"First")=0),"",SUMIFS(Answers!$AA$4:$AA$203,Answers!$A$4:$A$203,$A40,Answers!$B$4:$B$203,"First"))</f>
        <v/>
      </c>
      <c r="C40" s="11" t="str">
        <f aca="false">IF(OR($A40="",COUNTIFS(Answers!$A$4:$A$203,$A40,Answers!$B$4:$B$203,"Last")=0),"",SUMIFS(Answers!$AA$4:$AA$203,Answers!$A$4:$A$203,$A40,Answers!$B$4:$B$203,"Last"))</f>
        <v/>
      </c>
      <c r="D40" s="11" t="str">
        <f aca="false">IF(N40=1,C40-B40,"")</f>
        <v/>
      </c>
      <c r="E40" s="19" t="str">
        <f aca="false">IF(OR(N40&lt;&gt;1,B40=16),"",(C40-B40)/(16-B40))</f>
        <v/>
      </c>
      <c r="F40" s="11" t="str">
        <f aca="false">IF(OR($A40="",COUNTIFS(Answers!$A$4:$A$203,$A40,Answers!$B$4:$B$203,"First")=0),"",SUMIFS(Answers!$AB$4:$AB$203,Answers!$A$4:$A$203,$A40,Answers!$B$4:$B$203,"First"))</f>
        <v/>
      </c>
      <c r="G40" s="11" t="str">
        <f aca="false">IF(OR($A40="",COUNTIFS(Answers!$A$4:$A$203,$A40,Answers!$B$4:$B$203,"Last")=0),"",SUMIFS(Answers!$AB$4:$AB$203,Answers!$A$4:$A$203,$A40,Answers!$B$4:$B$203,"Last"))</f>
        <v/>
      </c>
      <c r="H40" s="11" t="str">
        <f aca="false">IF(OR($A40="",COUNTIFS(Answers!$A$4:$A$203,$A40,Answers!$B$4:$B$203,"First")=0),"",SUMIFS(Answers!$AC$4:$AC$203,Answers!$A$4:$A$203,$A40,Answers!$B$4:$B$203,"First"))</f>
        <v/>
      </c>
      <c r="I40" s="11" t="str">
        <f aca="false">IF(OR($A40="",COUNTIFS(Answers!$A$4:$A$203,$A40,Answers!$B$4:$B$203,"Last")=0),"",SUMIFS(Answers!$AC$4:$AC$203,Answers!$A$4:$A$203,$A40,Answers!$B$4:$B$203,"Last"))</f>
        <v/>
      </c>
      <c r="J40" s="12" t="str">
        <f aca="false">IF(OR($A40="",COUNTIFS(Answers!$A$4:$A$203,$A40,Answers!$B$4:$B$203,"First")=0),"",SUMIFS(Answers!$AD$4:$AD$203,Answers!$A$4:$A$203,$A40,Answers!$B$4:$B$203,"First"))</f>
        <v/>
      </c>
      <c r="K40" s="12" t="str">
        <f aca="false">IF(OR($A40="",COUNTIFS(Answers!$A$4:$A$203,$A40,Answers!$B$4:$B$203,"Last")=0),"",SUMIFS(Answers!$AD$4:$AD$203,Answers!$A$4:$A$203,$A40,Answers!$B$4:$B$203,"Last"))</f>
        <v/>
      </c>
      <c r="L40" s="12" t="str">
        <f aca="false">IF(OR($A40="",COUNTIFS(Answers!$A$4:$A$203,$A40,Answers!$B$4:$B$203,"First")=0),"",SUMIFS(Answers!$AE$4:$AE$203,Answers!$A$4:$A$203,$A40,Answers!$B$4:$B$203,"First"))</f>
        <v/>
      </c>
      <c r="M40" s="12" t="str">
        <f aca="false">IF(OR($A40="",COUNTIFS(Answers!$A$4:$A$203,$A40,Answers!$B$4:$B$203,"Last")=0),"",SUMIFS(Answers!$AE$4:$AE$203,Answers!$A$4:$A$203,$A40,Answers!$B$4:$B$203,"Last"))</f>
        <v/>
      </c>
      <c r="N40" s="11" t="n">
        <f aca="false">IF(AND(B40&lt;&gt;"",C40&lt;&gt;""),1,0)</f>
        <v>0</v>
      </c>
      <c r="O40" s="11" t="str">
        <f aca="false">IF($A40="","",IF(MAX(COUNTIFS(Answers!$A$4:$A$203,$A40,Answers!$B$4:$B$203,"First"),COUNTIFS(Answers!$A$4:$A$203,$A40,Answers!$B$4:$B$203,"Last"))&gt;1,"Two rows for one session: keep one",IF(B40="","No first session",IF(C40="","No last session",""))))</f>
        <v/>
      </c>
    </row>
    <row r="41" customFormat="false" ht="15" hidden="false" customHeight="false" outlineLevel="0" collapsed="false">
      <c r="A41" s="9"/>
      <c r="B41" s="11" t="str">
        <f aca="false">IF(OR($A41="",COUNTIFS(Answers!$A$4:$A$203,$A41,Answers!$B$4:$B$203,"First")=0),"",SUMIFS(Answers!$AA$4:$AA$203,Answers!$A$4:$A$203,$A41,Answers!$B$4:$B$203,"First"))</f>
        <v/>
      </c>
      <c r="C41" s="11" t="str">
        <f aca="false">IF(OR($A41="",COUNTIFS(Answers!$A$4:$A$203,$A41,Answers!$B$4:$B$203,"Last")=0),"",SUMIFS(Answers!$AA$4:$AA$203,Answers!$A$4:$A$203,$A41,Answers!$B$4:$B$203,"Last"))</f>
        <v/>
      </c>
      <c r="D41" s="11" t="str">
        <f aca="false">IF(N41=1,C41-B41,"")</f>
        <v/>
      </c>
      <c r="E41" s="19" t="str">
        <f aca="false">IF(OR(N41&lt;&gt;1,B41=16),"",(C41-B41)/(16-B41))</f>
        <v/>
      </c>
      <c r="F41" s="11" t="str">
        <f aca="false">IF(OR($A41="",COUNTIFS(Answers!$A$4:$A$203,$A41,Answers!$B$4:$B$203,"First")=0),"",SUMIFS(Answers!$AB$4:$AB$203,Answers!$A$4:$A$203,$A41,Answers!$B$4:$B$203,"First"))</f>
        <v/>
      </c>
      <c r="G41" s="11" t="str">
        <f aca="false">IF(OR($A41="",COUNTIFS(Answers!$A$4:$A$203,$A41,Answers!$B$4:$B$203,"Last")=0),"",SUMIFS(Answers!$AB$4:$AB$203,Answers!$A$4:$A$203,$A41,Answers!$B$4:$B$203,"Last"))</f>
        <v/>
      </c>
      <c r="H41" s="11" t="str">
        <f aca="false">IF(OR($A41="",COUNTIFS(Answers!$A$4:$A$203,$A41,Answers!$B$4:$B$203,"First")=0),"",SUMIFS(Answers!$AC$4:$AC$203,Answers!$A$4:$A$203,$A41,Answers!$B$4:$B$203,"First"))</f>
        <v/>
      </c>
      <c r="I41" s="11" t="str">
        <f aca="false">IF(OR($A41="",COUNTIFS(Answers!$A$4:$A$203,$A41,Answers!$B$4:$B$203,"Last")=0),"",SUMIFS(Answers!$AC$4:$AC$203,Answers!$A$4:$A$203,$A41,Answers!$B$4:$B$203,"Last"))</f>
        <v/>
      </c>
      <c r="J41" s="12" t="str">
        <f aca="false">IF(OR($A41="",COUNTIFS(Answers!$A$4:$A$203,$A41,Answers!$B$4:$B$203,"First")=0),"",SUMIFS(Answers!$AD$4:$AD$203,Answers!$A$4:$A$203,$A41,Answers!$B$4:$B$203,"First"))</f>
        <v/>
      </c>
      <c r="K41" s="12" t="str">
        <f aca="false">IF(OR($A41="",COUNTIFS(Answers!$A$4:$A$203,$A41,Answers!$B$4:$B$203,"Last")=0),"",SUMIFS(Answers!$AD$4:$AD$203,Answers!$A$4:$A$203,$A41,Answers!$B$4:$B$203,"Last"))</f>
        <v/>
      </c>
      <c r="L41" s="12" t="str">
        <f aca="false">IF(OR($A41="",COUNTIFS(Answers!$A$4:$A$203,$A41,Answers!$B$4:$B$203,"First")=0),"",SUMIFS(Answers!$AE$4:$AE$203,Answers!$A$4:$A$203,$A41,Answers!$B$4:$B$203,"First"))</f>
        <v/>
      </c>
      <c r="M41" s="12" t="str">
        <f aca="false">IF(OR($A41="",COUNTIFS(Answers!$A$4:$A$203,$A41,Answers!$B$4:$B$203,"Last")=0),"",SUMIFS(Answers!$AE$4:$AE$203,Answers!$A$4:$A$203,$A41,Answers!$B$4:$B$203,"Last"))</f>
        <v/>
      </c>
      <c r="N41" s="11" t="n">
        <f aca="false">IF(AND(B41&lt;&gt;"",C41&lt;&gt;""),1,0)</f>
        <v>0</v>
      </c>
      <c r="O41" s="11" t="str">
        <f aca="false">IF($A41="","",IF(MAX(COUNTIFS(Answers!$A$4:$A$203,$A41,Answers!$B$4:$B$203,"First"),COUNTIFS(Answers!$A$4:$A$203,$A41,Answers!$B$4:$B$203,"Last"))&gt;1,"Two rows for one session: keep one",IF(B41="","No first session",IF(C41="","No last session",""))))</f>
        <v/>
      </c>
    </row>
    <row r="42" customFormat="false" ht="15" hidden="false" customHeight="false" outlineLevel="0" collapsed="false">
      <c r="A42" s="9"/>
      <c r="B42" s="11" t="str">
        <f aca="false">IF(OR($A42="",COUNTIFS(Answers!$A$4:$A$203,$A42,Answers!$B$4:$B$203,"First")=0),"",SUMIFS(Answers!$AA$4:$AA$203,Answers!$A$4:$A$203,$A42,Answers!$B$4:$B$203,"First"))</f>
        <v/>
      </c>
      <c r="C42" s="11" t="str">
        <f aca="false">IF(OR($A42="",COUNTIFS(Answers!$A$4:$A$203,$A42,Answers!$B$4:$B$203,"Last")=0),"",SUMIFS(Answers!$AA$4:$AA$203,Answers!$A$4:$A$203,$A42,Answers!$B$4:$B$203,"Last"))</f>
        <v/>
      </c>
      <c r="D42" s="11" t="str">
        <f aca="false">IF(N42=1,C42-B42,"")</f>
        <v/>
      </c>
      <c r="E42" s="19" t="str">
        <f aca="false">IF(OR(N42&lt;&gt;1,B42=16),"",(C42-B42)/(16-B42))</f>
        <v/>
      </c>
      <c r="F42" s="11" t="str">
        <f aca="false">IF(OR($A42="",COUNTIFS(Answers!$A$4:$A$203,$A42,Answers!$B$4:$B$203,"First")=0),"",SUMIFS(Answers!$AB$4:$AB$203,Answers!$A$4:$A$203,$A42,Answers!$B$4:$B$203,"First"))</f>
        <v/>
      </c>
      <c r="G42" s="11" t="str">
        <f aca="false">IF(OR($A42="",COUNTIFS(Answers!$A$4:$A$203,$A42,Answers!$B$4:$B$203,"Last")=0),"",SUMIFS(Answers!$AB$4:$AB$203,Answers!$A$4:$A$203,$A42,Answers!$B$4:$B$203,"Last"))</f>
        <v/>
      </c>
      <c r="H42" s="11" t="str">
        <f aca="false">IF(OR($A42="",COUNTIFS(Answers!$A$4:$A$203,$A42,Answers!$B$4:$B$203,"First")=0),"",SUMIFS(Answers!$AC$4:$AC$203,Answers!$A$4:$A$203,$A42,Answers!$B$4:$B$203,"First"))</f>
        <v/>
      </c>
      <c r="I42" s="11" t="str">
        <f aca="false">IF(OR($A42="",COUNTIFS(Answers!$A$4:$A$203,$A42,Answers!$B$4:$B$203,"Last")=0),"",SUMIFS(Answers!$AC$4:$AC$203,Answers!$A$4:$A$203,$A42,Answers!$B$4:$B$203,"Last"))</f>
        <v/>
      </c>
      <c r="J42" s="12" t="str">
        <f aca="false">IF(OR($A42="",COUNTIFS(Answers!$A$4:$A$203,$A42,Answers!$B$4:$B$203,"First")=0),"",SUMIFS(Answers!$AD$4:$AD$203,Answers!$A$4:$A$203,$A42,Answers!$B$4:$B$203,"First"))</f>
        <v/>
      </c>
      <c r="K42" s="12" t="str">
        <f aca="false">IF(OR($A42="",COUNTIFS(Answers!$A$4:$A$203,$A42,Answers!$B$4:$B$203,"Last")=0),"",SUMIFS(Answers!$AD$4:$AD$203,Answers!$A$4:$A$203,$A42,Answers!$B$4:$B$203,"Last"))</f>
        <v/>
      </c>
      <c r="L42" s="12" t="str">
        <f aca="false">IF(OR($A42="",COUNTIFS(Answers!$A$4:$A$203,$A42,Answers!$B$4:$B$203,"First")=0),"",SUMIFS(Answers!$AE$4:$AE$203,Answers!$A$4:$A$203,$A42,Answers!$B$4:$B$203,"First"))</f>
        <v/>
      </c>
      <c r="M42" s="12" t="str">
        <f aca="false">IF(OR($A42="",COUNTIFS(Answers!$A$4:$A$203,$A42,Answers!$B$4:$B$203,"Last")=0),"",SUMIFS(Answers!$AE$4:$AE$203,Answers!$A$4:$A$203,$A42,Answers!$B$4:$B$203,"Last"))</f>
        <v/>
      </c>
      <c r="N42" s="11" t="n">
        <f aca="false">IF(AND(B42&lt;&gt;"",C42&lt;&gt;""),1,0)</f>
        <v>0</v>
      </c>
      <c r="O42" s="11" t="str">
        <f aca="false">IF($A42="","",IF(MAX(COUNTIFS(Answers!$A$4:$A$203,$A42,Answers!$B$4:$B$203,"First"),COUNTIFS(Answers!$A$4:$A$203,$A42,Answers!$B$4:$B$203,"Last"))&gt;1,"Two rows for one session: keep one",IF(B42="","No first session",IF(C42="","No last session",""))))</f>
        <v/>
      </c>
    </row>
    <row r="43" customFormat="false" ht="15" hidden="false" customHeight="false" outlineLevel="0" collapsed="false">
      <c r="A43" s="9"/>
      <c r="B43" s="11" t="str">
        <f aca="false">IF(OR($A43="",COUNTIFS(Answers!$A$4:$A$203,$A43,Answers!$B$4:$B$203,"First")=0),"",SUMIFS(Answers!$AA$4:$AA$203,Answers!$A$4:$A$203,$A43,Answers!$B$4:$B$203,"First"))</f>
        <v/>
      </c>
      <c r="C43" s="11" t="str">
        <f aca="false">IF(OR($A43="",COUNTIFS(Answers!$A$4:$A$203,$A43,Answers!$B$4:$B$203,"Last")=0),"",SUMIFS(Answers!$AA$4:$AA$203,Answers!$A$4:$A$203,$A43,Answers!$B$4:$B$203,"Last"))</f>
        <v/>
      </c>
      <c r="D43" s="11" t="str">
        <f aca="false">IF(N43=1,C43-B43,"")</f>
        <v/>
      </c>
      <c r="E43" s="19" t="str">
        <f aca="false">IF(OR(N43&lt;&gt;1,B43=16),"",(C43-B43)/(16-B43))</f>
        <v/>
      </c>
      <c r="F43" s="11" t="str">
        <f aca="false">IF(OR($A43="",COUNTIFS(Answers!$A$4:$A$203,$A43,Answers!$B$4:$B$203,"First")=0),"",SUMIFS(Answers!$AB$4:$AB$203,Answers!$A$4:$A$203,$A43,Answers!$B$4:$B$203,"First"))</f>
        <v/>
      </c>
      <c r="G43" s="11" t="str">
        <f aca="false">IF(OR($A43="",COUNTIFS(Answers!$A$4:$A$203,$A43,Answers!$B$4:$B$203,"Last")=0),"",SUMIFS(Answers!$AB$4:$AB$203,Answers!$A$4:$A$203,$A43,Answers!$B$4:$B$203,"Last"))</f>
        <v/>
      </c>
      <c r="H43" s="11" t="str">
        <f aca="false">IF(OR($A43="",COUNTIFS(Answers!$A$4:$A$203,$A43,Answers!$B$4:$B$203,"First")=0),"",SUMIFS(Answers!$AC$4:$AC$203,Answers!$A$4:$A$203,$A43,Answers!$B$4:$B$203,"First"))</f>
        <v/>
      </c>
      <c r="I43" s="11" t="str">
        <f aca="false">IF(OR($A43="",COUNTIFS(Answers!$A$4:$A$203,$A43,Answers!$B$4:$B$203,"Last")=0),"",SUMIFS(Answers!$AC$4:$AC$203,Answers!$A$4:$A$203,$A43,Answers!$B$4:$B$203,"Last"))</f>
        <v/>
      </c>
      <c r="J43" s="12" t="str">
        <f aca="false">IF(OR($A43="",COUNTIFS(Answers!$A$4:$A$203,$A43,Answers!$B$4:$B$203,"First")=0),"",SUMIFS(Answers!$AD$4:$AD$203,Answers!$A$4:$A$203,$A43,Answers!$B$4:$B$203,"First"))</f>
        <v/>
      </c>
      <c r="K43" s="12" t="str">
        <f aca="false">IF(OR($A43="",COUNTIFS(Answers!$A$4:$A$203,$A43,Answers!$B$4:$B$203,"Last")=0),"",SUMIFS(Answers!$AD$4:$AD$203,Answers!$A$4:$A$203,$A43,Answers!$B$4:$B$203,"Last"))</f>
        <v/>
      </c>
      <c r="L43" s="12" t="str">
        <f aca="false">IF(OR($A43="",COUNTIFS(Answers!$A$4:$A$203,$A43,Answers!$B$4:$B$203,"First")=0),"",SUMIFS(Answers!$AE$4:$AE$203,Answers!$A$4:$A$203,$A43,Answers!$B$4:$B$203,"First"))</f>
        <v/>
      </c>
      <c r="M43" s="12" t="str">
        <f aca="false">IF(OR($A43="",COUNTIFS(Answers!$A$4:$A$203,$A43,Answers!$B$4:$B$203,"Last")=0),"",SUMIFS(Answers!$AE$4:$AE$203,Answers!$A$4:$A$203,$A43,Answers!$B$4:$B$203,"Last"))</f>
        <v/>
      </c>
      <c r="N43" s="11" t="n">
        <f aca="false">IF(AND(B43&lt;&gt;"",C43&lt;&gt;""),1,0)</f>
        <v>0</v>
      </c>
      <c r="O43" s="11" t="str">
        <f aca="false">IF($A43="","",IF(MAX(COUNTIFS(Answers!$A$4:$A$203,$A43,Answers!$B$4:$B$203,"First"),COUNTIFS(Answers!$A$4:$A$203,$A43,Answers!$B$4:$B$203,"Last"))&gt;1,"Two rows for one session: keep one",IF(B43="","No first session",IF(C43="","No last session",""))))</f>
        <v/>
      </c>
    </row>
    <row r="44" customFormat="false" ht="15" hidden="false" customHeight="false" outlineLevel="0" collapsed="false">
      <c r="A44" s="9"/>
      <c r="B44" s="11" t="str">
        <f aca="false">IF(OR($A44="",COUNTIFS(Answers!$A$4:$A$203,$A44,Answers!$B$4:$B$203,"First")=0),"",SUMIFS(Answers!$AA$4:$AA$203,Answers!$A$4:$A$203,$A44,Answers!$B$4:$B$203,"First"))</f>
        <v/>
      </c>
      <c r="C44" s="11" t="str">
        <f aca="false">IF(OR($A44="",COUNTIFS(Answers!$A$4:$A$203,$A44,Answers!$B$4:$B$203,"Last")=0),"",SUMIFS(Answers!$AA$4:$AA$203,Answers!$A$4:$A$203,$A44,Answers!$B$4:$B$203,"Last"))</f>
        <v/>
      </c>
      <c r="D44" s="11" t="str">
        <f aca="false">IF(N44=1,C44-B44,"")</f>
        <v/>
      </c>
      <c r="E44" s="19" t="str">
        <f aca="false">IF(OR(N44&lt;&gt;1,B44=16),"",(C44-B44)/(16-B44))</f>
        <v/>
      </c>
      <c r="F44" s="11" t="str">
        <f aca="false">IF(OR($A44="",COUNTIFS(Answers!$A$4:$A$203,$A44,Answers!$B$4:$B$203,"First")=0),"",SUMIFS(Answers!$AB$4:$AB$203,Answers!$A$4:$A$203,$A44,Answers!$B$4:$B$203,"First"))</f>
        <v/>
      </c>
      <c r="G44" s="11" t="str">
        <f aca="false">IF(OR($A44="",COUNTIFS(Answers!$A$4:$A$203,$A44,Answers!$B$4:$B$203,"Last")=0),"",SUMIFS(Answers!$AB$4:$AB$203,Answers!$A$4:$A$203,$A44,Answers!$B$4:$B$203,"Last"))</f>
        <v/>
      </c>
      <c r="H44" s="11" t="str">
        <f aca="false">IF(OR($A44="",COUNTIFS(Answers!$A$4:$A$203,$A44,Answers!$B$4:$B$203,"First")=0),"",SUMIFS(Answers!$AC$4:$AC$203,Answers!$A$4:$A$203,$A44,Answers!$B$4:$B$203,"First"))</f>
        <v/>
      </c>
      <c r="I44" s="11" t="str">
        <f aca="false">IF(OR($A44="",COUNTIFS(Answers!$A$4:$A$203,$A44,Answers!$B$4:$B$203,"Last")=0),"",SUMIFS(Answers!$AC$4:$AC$203,Answers!$A$4:$A$203,$A44,Answers!$B$4:$B$203,"Last"))</f>
        <v/>
      </c>
      <c r="J44" s="12" t="str">
        <f aca="false">IF(OR($A44="",COUNTIFS(Answers!$A$4:$A$203,$A44,Answers!$B$4:$B$203,"First")=0),"",SUMIFS(Answers!$AD$4:$AD$203,Answers!$A$4:$A$203,$A44,Answers!$B$4:$B$203,"First"))</f>
        <v/>
      </c>
      <c r="K44" s="12" t="str">
        <f aca="false">IF(OR($A44="",COUNTIFS(Answers!$A$4:$A$203,$A44,Answers!$B$4:$B$203,"Last")=0),"",SUMIFS(Answers!$AD$4:$AD$203,Answers!$A$4:$A$203,$A44,Answers!$B$4:$B$203,"Last"))</f>
        <v/>
      </c>
      <c r="L44" s="12" t="str">
        <f aca="false">IF(OR($A44="",COUNTIFS(Answers!$A$4:$A$203,$A44,Answers!$B$4:$B$203,"First")=0),"",SUMIFS(Answers!$AE$4:$AE$203,Answers!$A$4:$A$203,$A44,Answers!$B$4:$B$203,"First"))</f>
        <v/>
      </c>
      <c r="M44" s="12" t="str">
        <f aca="false">IF(OR($A44="",COUNTIFS(Answers!$A$4:$A$203,$A44,Answers!$B$4:$B$203,"Last")=0),"",SUMIFS(Answers!$AE$4:$AE$203,Answers!$A$4:$A$203,$A44,Answers!$B$4:$B$203,"Last"))</f>
        <v/>
      </c>
      <c r="N44" s="11" t="n">
        <f aca="false">IF(AND(B44&lt;&gt;"",C44&lt;&gt;""),1,0)</f>
        <v>0</v>
      </c>
      <c r="O44" s="11" t="str">
        <f aca="false">IF($A44="","",IF(MAX(COUNTIFS(Answers!$A$4:$A$203,$A44,Answers!$B$4:$B$203,"First"),COUNTIFS(Answers!$A$4:$A$203,$A44,Answers!$B$4:$B$203,"Last"))&gt;1,"Two rows for one session: keep one",IF(B44="","No first session",IF(C44="","No last session",""))))</f>
        <v/>
      </c>
    </row>
    <row r="45" customFormat="false" ht="15" hidden="false" customHeight="false" outlineLevel="0" collapsed="false">
      <c r="A45" s="9"/>
      <c r="B45" s="11" t="str">
        <f aca="false">IF(OR($A45="",COUNTIFS(Answers!$A$4:$A$203,$A45,Answers!$B$4:$B$203,"First")=0),"",SUMIFS(Answers!$AA$4:$AA$203,Answers!$A$4:$A$203,$A45,Answers!$B$4:$B$203,"First"))</f>
        <v/>
      </c>
      <c r="C45" s="11" t="str">
        <f aca="false">IF(OR($A45="",COUNTIFS(Answers!$A$4:$A$203,$A45,Answers!$B$4:$B$203,"Last")=0),"",SUMIFS(Answers!$AA$4:$AA$203,Answers!$A$4:$A$203,$A45,Answers!$B$4:$B$203,"Last"))</f>
        <v/>
      </c>
      <c r="D45" s="11" t="str">
        <f aca="false">IF(N45=1,C45-B45,"")</f>
        <v/>
      </c>
      <c r="E45" s="19" t="str">
        <f aca="false">IF(OR(N45&lt;&gt;1,B45=16),"",(C45-B45)/(16-B45))</f>
        <v/>
      </c>
      <c r="F45" s="11" t="str">
        <f aca="false">IF(OR($A45="",COUNTIFS(Answers!$A$4:$A$203,$A45,Answers!$B$4:$B$203,"First")=0),"",SUMIFS(Answers!$AB$4:$AB$203,Answers!$A$4:$A$203,$A45,Answers!$B$4:$B$203,"First"))</f>
        <v/>
      </c>
      <c r="G45" s="11" t="str">
        <f aca="false">IF(OR($A45="",COUNTIFS(Answers!$A$4:$A$203,$A45,Answers!$B$4:$B$203,"Last")=0),"",SUMIFS(Answers!$AB$4:$AB$203,Answers!$A$4:$A$203,$A45,Answers!$B$4:$B$203,"Last"))</f>
        <v/>
      </c>
      <c r="H45" s="11" t="str">
        <f aca="false">IF(OR($A45="",COUNTIFS(Answers!$A$4:$A$203,$A45,Answers!$B$4:$B$203,"First")=0),"",SUMIFS(Answers!$AC$4:$AC$203,Answers!$A$4:$A$203,$A45,Answers!$B$4:$B$203,"First"))</f>
        <v/>
      </c>
      <c r="I45" s="11" t="str">
        <f aca="false">IF(OR($A45="",COUNTIFS(Answers!$A$4:$A$203,$A45,Answers!$B$4:$B$203,"Last")=0),"",SUMIFS(Answers!$AC$4:$AC$203,Answers!$A$4:$A$203,$A45,Answers!$B$4:$B$203,"Last"))</f>
        <v/>
      </c>
      <c r="J45" s="12" t="str">
        <f aca="false">IF(OR($A45="",COUNTIFS(Answers!$A$4:$A$203,$A45,Answers!$B$4:$B$203,"First")=0),"",SUMIFS(Answers!$AD$4:$AD$203,Answers!$A$4:$A$203,$A45,Answers!$B$4:$B$203,"First"))</f>
        <v/>
      </c>
      <c r="K45" s="12" t="str">
        <f aca="false">IF(OR($A45="",COUNTIFS(Answers!$A$4:$A$203,$A45,Answers!$B$4:$B$203,"Last")=0),"",SUMIFS(Answers!$AD$4:$AD$203,Answers!$A$4:$A$203,$A45,Answers!$B$4:$B$203,"Last"))</f>
        <v/>
      </c>
      <c r="L45" s="12" t="str">
        <f aca="false">IF(OR($A45="",COUNTIFS(Answers!$A$4:$A$203,$A45,Answers!$B$4:$B$203,"First")=0),"",SUMIFS(Answers!$AE$4:$AE$203,Answers!$A$4:$A$203,$A45,Answers!$B$4:$B$203,"First"))</f>
        <v/>
      </c>
      <c r="M45" s="12" t="str">
        <f aca="false">IF(OR($A45="",COUNTIFS(Answers!$A$4:$A$203,$A45,Answers!$B$4:$B$203,"Last")=0),"",SUMIFS(Answers!$AE$4:$AE$203,Answers!$A$4:$A$203,$A45,Answers!$B$4:$B$203,"Last"))</f>
        <v/>
      </c>
      <c r="N45" s="11" t="n">
        <f aca="false">IF(AND(B45&lt;&gt;"",C45&lt;&gt;""),1,0)</f>
        <v>0</v>
      </c>
      <c r="O45" s="11" t="str">
        <f aca="false">IF($A45="","",IF(MAX(COUNTIFS(Answers!$A$4:$A$203,$A45,Answers!$B$4:$B$203,"First"),COUNTIFS(Answers!$A$4:$A$203,$A45,Answers!$B$4:$B$203,"Last"))&gt;1,"Two rows for one session: keep one",IF(B45="","No first session",IF(C45="","No last session",""))))</f>
        <v/>
      </c>
    </row>
    <row r="46" customFormat="false" ht="15" hidden="false" customHeight="false" outlineLevel="0" collapsed="false">
      <c r="A46" s="9"/>
      <c r="B46" s="11" t="str">
        <f aca="false">IF(OR($A46="",COUNTIFS(Answers!$A$4:$A$203,$A46,Answers!$B$4:$B$203,"First")=0),"",SUMIFS(Answers!$AA$4:$AA$203,Answers!$A$4:$A$203,$A46,Answers!$B$4:$B$203,"First"))</f>
        <v/>
      </c>
      <c r="C46" s="11" t="str">
        <f aca="false">IF(OR($A46="",COUNTIFS(Answers!$A$4:$A$203,$A46,Answers!$B$4:$B$203,"Last")=0),"",SUMIFS(Answers!$AA$4:$AA$203,Answers!$A$4:$A$203,$A46,Answers!$B$4:$B$203,"Last"))</f>
        <v/>
      </c>
      <c r="D46" s="11" t="str">
        <f aca="false">IF(N46=1,C46-B46,"")</f>
        <v/>
      </c>
      <c r="E46" s="19" t="str">
        <f aca="false">IF(OR(N46&lt;&gt;1,B46=16),"",(C46-B46)/(16-B46))</f>
        <v/>
      </c>
      <c r="F46" s="11" t="str">
        <f aca="false">IF(OR($A46="",COUNTIFS(Answers!$A$4:$A$203,$A46,Answers!$B$4:$B$203,"First")=0),"",SUMIFS(Answers!$AB$4:$AB$203,Answers!$A$4:$A$203,$A46,Answers!$B$4:$B$203,"First"))</f>
        <v/>
      </c>
      <c r="G46" s="11" t="str">
        <f aca="false">IF(OR($A46="",COUNTIFS(Answers!$A$4:$A$203,$A46,Answers!$B$4:$B$203,"Last")=0),"",SUMIFS(Answers!$AB$4:$AB$203,Answers!$A$4:$A$203,$A46,Answers!$B$4:$B$203,"Last"))</f>
        <v/>
      </c>
      <c r="H46" s="11" t="str">
        <f aca="false">IF(OR($A46="",COUNTIFS(Answers!$A$4:$A$203,$A46,Answers!$B$4:$B$203,"First")=0),"",SUMIFS(Answers!$AC$4:$AC$203,Answers!$A$4:$A$203,$A46,Answers!$B$4:$B$203,"First"))</f>
        <v/>
      </c>
      <c r="I46" s="11" t="str">
        <f aca="false">IF(OR($A46="",COUNTIFS(Answers!$A$4:$A$203,$A46,Answers!$B$4:$B$203,"Last")=0),"",SUMIFS(Answers!$AC$4:$AC$203,Answers!$A$4:$A$203,$A46,Answers!$B$4:$B$203,"Last"))</f>
        <v/>
      </c>
      <c r="J46" s="12" t="str">
        <f aca="false">IF(OR($A46="",COUNTIFS(Answers!$A$4:$A$203,$A46,Answers!$B$4:$B$203,"First")=0),"",SUMIFS(Answers!$AD$4:$AD$203,Answers!$A$4:$A$203,$A46,Answers!$B$4:$B$203,"First"))</f>
        <v/>
      </c>
      <c r="K46" s="12" t="str">
        <f aca="false">IF(OR($A46="",COUNTIFS(Answers!$A$4:$A$203,$A46,Answers!$B$4:$B$203,"Last")=0),"",SUMIFS(Answers!$AD$4:$AD$203,Answers!$A$4:$A$203,$A46,Answers!$B$4:$B$203,"Last"))</f>
        <v/>
      </c>
      <c r="L46" s="12" t="str">
        <f aca="false">IF(OR($A46="",COUNTIFS(Answers!$A$4:$A$203,$A46,Answers!$B$4:$B$203,"First")=0),"",SUMIFS(Answers!$AE$4:$AE$203,Answers!$A$4:$A$203,$A46,Answers!$B$4:$B$203,"First"))</f>
        <v/>
      </c>
      <c r="M46" s="12" t="str">
        <f aca="false">IF(OR($A46="",COUNTIFS(Answers!$A$4:$A$203,$A46,Answers!$B$4:$B$203,"Last")=0),"",SUMIFS(Answers!$AE$4:$AE$203,Answers!$A$4:$A$203,$A46,Answers!$B$4:$B$203,"Last"))</f>
        <v/>
      </c>
      <c r="N46" s="11" t="n">
        <f aca="false">IF(AND(B46&lt;&gt;"",C46&lt;&gt;""),1,0)</f>
        <v>0</v>
      </c>
      <c r="O46" s="11" t="str">
        <f aca="false">IF($A46="","",IF(MAX(COUNTIFS(Answers!$A$4:$A$203,$A46,Answers!$B$4:$B$203,"First"),COUNTIFS(Answers!$A$4:$A$203,$A46,Answers!$B$4:$B$203,"Last"))&gt;1,"Two rows for one session: keep one",IF(B46="","No first session",IF(C46="","No last session",""))))</f>
        <v/>
      </c>
    </row>
    <row r="47" customFormat="false" ht="15" hidden="false" customHeight="false" outlineLevel="0" collapsed="false">
      <c r="A47" s="9"/>
      <c r="B47" s="11" t="str">
        <f aca="false">IF(OR($A47="",COUNTIFS(Answers!$A$4:$A$203,$A47,Answers!$B$4:$B$203,"First")=0),"",SUMIFS(Answers!$AA$4:$AA$203,Answers!$A$4:$A$203,$A47,Answers!$B$4:$B$203,"First"))</f>
        <v/>
      </c>
      <c r="C47" s="11" t="str">
        <f aca="false">IF(OR($A47="",COUNTIFS(Answers!$A$4:$A$203,$A47,Answers!$B$4:$B$203,"Last")=0),"",SUMIFS(Answers!$AA$4:$AA$203,Answers!$A$4:$A$203,$A47,Answers!$B$4:$B$203,"Last"))</f>
        <v/>
      </c>
      <c r="D47" s="11" t="str">
        <f aca="false">IF(N47=1,C47-B47,"")</f>
        <v/>
      </c>
      <c r="E47" s="19" t="str">
        <f aca="false">IF(OR(N47&lt;&gt;1,B47=16),"",(C47-B47)/(16-B47))</f>
        <v/>
      </c>
      <c r="F47" s="11" t="str">
        <f aca="false">IF(OR($A47="",COUNTIFS(Answers!$A$4:$A$203,$A47,Answers!$B$4:$B$203,"First")=0),"",SUMIFS(Answers!$AB$4:$AB$203,Answers!$A$4:$A$203,$A47,Answers!$B$4:$B$203,"First"))</f>
        <v/>
      </c>
      <c r="G47" s="11" t="str">
        <f aca="false">IF(OR($A47="",COUNTIFS(Answers!$A$4:$A$203,$A47,Answers!$B$4:$B$203,"Last")=0),"",SUMIFS(Answers!$AB$4:$AB$203,Answers!$A$4:$A$203,$A47,Answers!$B$4:$B$203,"Last"))</f>
        <v/>
      </c>
      <c r="H47" s="11" t="str">
        <f aca="false">IF(OR($A47="",COUNTIFS(Answers!$A$4:$A$203,$A47,Answers!$B$4:$B$203,"First")=0),"",SUMIFS(Answers!$AC$4:$AC$203,Answers!$A$4:$A$203,$A47,Answers!$B$4:$B$203,"First"))</f>
        <v/>
      </c>
      <c r="I47" s="11" t="str">
        <f aca="false">IF(OR($A47="",COUNTIFS(Answers!$A$4:$A$203,$A47,Answers!$B$4:$B$203,"Last")=0),"",SUMIFS(Answers!$AC$4:$AC$203,Answers!$A$4:$A$203,$A47,Answers!$B$4:$B$203,"Last"))</f>
        <v/>
      </c>
      <c r="J47" s="12" t="str">
        <f aca="false">IF(OR($A47="",COUNTIFS(Answers!$A$4:$A$203,$A47,Answers!$B$4:$B$203,"First")=0),"",SUMIFS(Answers!$AD$4:$AD$203,Answers!$A$4:$A$203,$A47,Answers!$B$4:$B$203,"First"))</f>
        <v/>
      </c>
      <c r="K47" s="12" t="str">
        <f aca="false">IF(OR($A47="",COUNTIFS(Answers!$A$4:$A$203,$A47,Answers!$B$4:$B$203,"Last")=0),"",SUMIFS(Answers!$AD$4:$AD$203,Answers!$A$4:$A$203,$A47,Answers!$B$4:$B$203,"Last"))</f>
        <v/>
      </c>
      <c r="L47" s="12" t="str">
        <f aca="false">IF(OR($A47="",COUNTIFS(Answers!$A$4:$A$203,$A47,Answers!$B$4:$B$203,"First")=0),"",SUMIFS(Answers!$AE$4:$AE$203,Answers!$A$4:$A$203,$A47,Answers!$B$4:$B$203,"First"))</f>
        <v/>
      </c>
      <c r="M47" s="12" t="str">
        <f aca="false">IF(OR($A47="",COUNTIFS(Answers!$A$4:$A$203,$A47,Answers!$B$4:$B$203,"Last")=0),"",SUMIFS(Answers!$AE$4:$AE$203,Answers!$A$4:$A$203,$A47,Answers!$B$4:$B$203,"Last"))</f>
        <v/>
      </c>
      <c r="N47" s="11" t="n">
        <f aca="false">IF(AND(B47&lt;&gt;"",C47&lt;&gt;""),1,0)</f>
        <v>0</v>
      </c>
      <c r="O47" s="11" t="str">
        <f aca="false">IF($A47="","",IF(MAX(COUNTIFS(Answers!$A$4:$A$203,$A47,Answers!$B$4:$B$203,"First"),COUNTIFS(Answers!$A$4:$A$203,$A47,Answers!$B$4:$B$203,"Last"))&gt;1,"Two rows for one session: keep one",IF(B47="","No first session",IF(C47="","No last session",""))))</f>
        <v/>
      </c>
    </row>
    <row r="48" customFormat="false" ht="15" hidden="false" customHeight="false" outlineLevel="0" collapsed="false">
      <c r="A48" s="9"/>
      <c r="B48" s="11" t="str">
        <f aca="false">IF(OR($A48="",COUNTIFS(Answers!$A$4:$A$203,$A48,Answers!$B$4:$B$203,"First")=0),"",SUMIFS(Answers!$AA$4:$AA$203,Answers!$A$4:$A$203,$A48,Answers!$B$4:$B$203,"First"))</f>
        <v/>
      </c>
      <c r="C48" s="11" t="str">
        <f aca="false">IF(OR($A48="",COUNTIFS(Answers!$A$4:$A$203,$A48,Answers!$B$4:$B$203,"Last")=0),"",SUMIFS(Answers!$AA$4:$AA$203,Answers!$A$4:$A$203,$A48,Answers!$B$4:$B$203,"Last"))</f>
        <v/>
      </c>
      <c r="D48" s="11" t="str">
        <f aca="false">IF(N48=1,C48-B48,"")</f>
        <v/>
      </c>
      <c r="E48" s="19" t="str">
        <f aca="false">IF(OR(N48&lt;&gt;1,B48=16),"",(C48-B48)/(16-B48))</f>
        <v/>
      </c>
      <c r="F48" s="11" t="str">
        <f aca="false">IF(OR($A48="",COUNTIFS(Answers!$A$4:$A$203,$A48,Answers!$B$4:$B$203,"First")=0),"",SUMIFS(Answers!$AB$4:$AB$203,Answers!$A$4:$A$203,$A48,Answers!$B$4:$B$203,"First"))</f>
        <v/>
      </c>
      <c r="G48" s="11" t="str">
        <f aca="false">IF(OR($A48="",COUNTIFS(Answers!$A$4:$A$203,$A48,Answers!$B$4:$B$203,"Last")=0),"",SUMIFS(Answers!$AB$4:$AB$203,Answers!$A$4:$A$203,$A48,Answers!$B$4:$B$203,"Last"))</f>
        <v/>
      </c>
      <c r="H48" s="11" t="str">
        <f aca="false">IF(OR($A48="",COUNTIFS(Answers!$A$4:$A$203,$A48,Answers!$B$4:$B$203,"First")=0),"",SUMIFS(Answers!$AC$4:$AC$203,Answers!$A$4:$A$203,$A48,Answers!$B$4:$B$203,"First"))</f>
        <v/>
      </c>
      <c r="I48" s="11" t="str">
        <f aca="false">IF(OR($A48="",COUNTIFS(Answers!$A$4:$A$203,$A48,Answers!$B$4:$B$203,"Last")=0),"",SUMIFS(Answers!$AC$4:$AC$203,Answers!$A$4:$A$203,$A48,Answers!$B$4:$B$203,"Last"))</f>
        <v/>
      </c>
      <c r="J48" s="12" t="str">
        <f aca="false">IF(OR($A48="",COUNTIFS(Answers!$A$4:$A$203,$A48,Answers!$B$4:$B$203,"First")=0),"",SUMIFS(Answers!$AD$4:$AD$203,Answers!$A$4:$A$203,$A48,Answers!$B$4:$B$203,"First"))</f>
        <v/>
      </c>
      <c r="K48" s="12" t="str">
        <f aca="false">IF(OR($A48="",COUNTIFS(Answers!$A$4:$A$203,$A48,Answers!$B$4:$B$203,"Last")=0),"",SUMIFS(Answers!$AD$4:$AD$203,Answers!$A$4:$A$203,$A48,Answers!$B$4:$B$203,"Last"))</f>
        <v/>
      </c>
      <c r="L48" s="12" t="str">
        <f aca="false">IF(OR($A48="",COUNTIFS(Answers!$A$4:$A$203,$A48,Answers!$B$4:$B$203,"First")=0),"",SUMIFS(Answers!$AE$4:$AE$203,Answers!$A$4:$A$203,$A48,Answers!$B$4:$B$203,"First"))</f>
        <v/>
      </c>
      <c r="M48" s="12" t="str">
        <f aca="false">IF(OR($A48="",COUNTIFS(Answers!$A$4:$A$203,$A48,Answers!$B$4:$B$203,"Last")=0),"",SUMIFS(Answers!$AE$4:$AE$203,Answers!$A$4:$A$203,$A48,Answers!$B$4:$B$203,"Last"))</f>
        <v/>
      </c>
      <c r="N48" s="11" t="n">
        <f aca="false">IF(AND(B48&lt;&gt;"",C48&lt;&gt;""),1,0)</f>
        <v>0</v>
      </c>
      <c r="O48" s="11" t="str">
        <f aca="false">IF($A48="","",IF(MAX(COUNTIFS(Answers!$A$4:$A$203,$A48,Answers!$B$4:$B$203,"First"),COUNTIFS(Answers!$A$4:$A$203,$A48,Answers!$B$4:$B$203,"Last"))&gt;1,"Two rows for one session: keep one",IF(B48="","No first session",IF(C48="","No last session",""))))</f>
        <v/>
      </c>
    </row>
    <row r="49" customFormat="false" ht="15" hidden="false" customHeight="false" outlineLevel="0" collapsed="false">
      <c r="A49" s="9"/>
      <c r="B49" s="11" t="str">
        <f aca="false">IF(OR($A49="",COUNTIFS(Answers!$A$4:$A$203,$A49,Answers!$B$4:$B$203,"First")=0),"",SUMIFS(Answers!$AA$4:$AA$203,Answers!$A$4:$A$203,$A49,Answers!$B$4:$B$203,"First"))</f>
        <v/>
      </c>
      <c r="C49" s="11" t="str">
        <f aca="false">IF(OR($A49="",COUNTIFS(Answers!$A$4:$A$203,$A49,Answers!$B$4:$B$203,"Last")=0),"",SUMIFS(Answers!$AA$4:$AA$203,Answers!$A$4:$A$203,$A49,Answers!$B$4:$B$203,"Last"))</f>
        <v/>
      </c>
      <c r="D49" s="11" t="str">
        <f aca="false">IF(N49=1,C49-B49,"")</f>
        <v/>
      </c>
      <c r="E49" s="19" t="str">
        <f aca="false">IF(OR(N49&lt;&gt;1,B49=16),"",(C49-B49)/(16-B49))</f>
        <v/>
      </c>
      <c r="F49" s="11" t="str">
        <f aca="false">IF(OR($A49="",COUNTIFS(Answers!$A$4:$A$203,$A49,Answers!$B$4:$B$203,"First")=0),"",SUMIFS(Answers!$AB$4:$AB$203,Answers!$A$4:$A$203,$A49,Answers!$B$4:$B$203,"First"))</f>
        <v/>
      </c>
      <c r="G49" s="11" t="str">
        <f aca="false">IF(OR($A49="",COUNTIFS(Answers!$A$4:$A$203,$A49,Answers!$B$4:$B$203,"Last")=0),"",SUMIFS(Answers!$AB$4:$AB$203,Answers!$A$4:$A$203,$A49,Answers!$B$4:$B$203,"Last"))</f>
        <v/>
      </c>
      <c r="H49" s="11" t="str">
        <f aca="false">IF(OR($A49="",COUNTIFS(Answers!$A$4:$A$203,$A49,Answers!$B$4:$B$203,"First")=0),"",SUMIFS(Answers!$AC$4:$AC$203,Answers!$A$4:$A$203,$A49,Answers!$B$4:$B$203,"First"))</f>
        <v/>
      </c>
      <c r="I49" s="11" t="str">
        <f aca="false">IF(OR($A49="",COUNTIFS(Answers!$A$4:$A$203,$A49,Answers!$B$4:$B$203,"Last")=0),"",SUMIFS(Answers!$AC$4:$AC$203,Answers!$A$4:$A$203,$A49,Answers!$B$4:$B$203,"Last"))</f>
        <v/>
      </c>
      <c r="J49" s="12" t="str">
        <f aca="false">IF(OR($A49="",COUNTIFS(Answers!$A$4:$A$203,$A49,Answers!$B$4:$B$203,"First")=0),"",SUMIFS(Answers!$AD$4:$AD$203,Answers!$A$4:$A$203,$A49,Answers!$B$4:$B$203,"First"))</f>
        <v/>
      </c>
      <c r="K49" s="12" t="str">
        <f aca="false">IF(OR($A49="",COUNTIFS(Answers!$A$4:$A$203,$A49,Answers!$B$4:$B$203,"Last")=0),"",SUMIFS(Answers!$AD$4:$AD$203,Answers!$A$4:$A$203,$A49,Answers!$B$4:$B$203,"Last"))</f>
        <v/>
      </c>
      <c r="L49" s="12" t="str">
        <f aca="false">IF(OR($A49="",COUNTIFS(Answers!$A$4:$A$203,$A49,Answers!$B$4:$B$203,"First")=0),"",SUMIFS(Answers!$AE$4:$AE$203,Answers!$A$4:$A$203,$A49,Answers!$B$4:$B$203,"First"))</f>
        <v/>
      </c>
      <c r="M49" s="12" t="str">
        <f aca="false">IF(OR($A49="",COUNTIFS(Answers!$A$4:$A$203,$A49,Answers!$B$4:$B$203,"Last")=0),"",SUMIFS(Answers!$AE$4:$AE$203,Answers!$A$4:$A$203,$A49,Answers!$B$4:$B$203,"Last"))</f>
        <v/>
      </c>
      <c r="N49" s="11" t="n">
        <f aca="false">IF(AND(B49&lt;&gt;"",C49&lt;&gt;""),1,0)</f>
        <v>0</v>
      </c>
      <c r="O49" s="11" t="str">
        <f aca="false">IF($A49="","",IF(MAX(COUNTIFS(Answers!$A$4:$A$203,$A49,Answers!$B$4:$B$203,"First"),COUNTIFS(Answers!$A$4:$A$203,$A49,Answers!$B$4:$B$203,"Last"))&gt;1,"Two rows for one session: keep one",IF(B49="","No first session",IF(C49="","No last session",""))))</f>
        <v/>
      </c>
    </row>
    <row r="50" customFormat="false" ht="15" hidden="false" customHeight="false" outlineLevel="0" collapsed="false">
      <c r="A50" s="9"/>
      <c r="B50" s="11" t="str">
        <f aca="false">IF(OR($A50="",COUNTIFS(Answers!$A$4:$A$203,$A50,Answers!$B$4:$B$203,"First")=0),"",SUMIFS(Answers!$AA$4:$AA$203,Answers!$A$4:$A$203,$A50,Answers!$B$4:$B$203,"First"))</f>
        <v/>
      </c>
      <c r="C50" s="11" t="str">
        <f aca="false">IF(OR($A50="",COUNTIFS(Answers!$A$4:$A$203,$A50,Answers!$B$4:$B$203,"Last")=0),"",SUMIFS(Answers!$AA$4:$AA$203,Answers!$A$4:$A$203,$A50,Answers!$B$4:$B$203,"Last"))</f>
        <v/>
      </c>
      <c r="D50" s="11" t="str">
        <f aca="false">IF(N50=1,C50-B50,"")</f>
        <v/>
      </c>
      <c r="E50" s="19" t="str">
        <f aca="false">IF(OR(N50&lt;&gt;1,B50=16),"",(C50-B50)/(16-B50))</f>
        <v/>
      </c>
      <c r="F50" s="11" t="str">
        <f aca="false">IF(OR($A50="",COUNTIFS(Answers!$A$4:$A$203,$A50,Answers!$B$4:$B$203,"First")=0),"",SUMIFS(Answers!$AB$4:$AB$203,Answers!$A$4:$A$203,$A50,Answers!$B$4:$B$203,"First"))</f>
        <v/>
      </c>
      <c r="G50" s="11" t="str">
        <f aca="false">IF(OR($A50="",COUNTIFS(Answers!$A$4:$A$203,$A50,Answers!$B$4:$B$203,"Last")=0),"",SUMIFS(Answers!$AB$4:$AB$203,Answers!$A$4:$A$203,$A50,Answers!$B$4:$B$203,"Last"))</f>
        <v/>
      </c>
      <c r="H50" s="11" t="str">
        <f aca="false">IF(OR($A50="",COUNTIFS(Answers!$A$4:$A$203,$A50,Answers!$B$4:$B$203,"First")=0),"",SUMIFS(Answers!$AC$4:$AC$203,Answers!$A$4:$A$203,$A50,Answers!$B$4:$B$203,"First"))</f>
        <v/>
      </c>
      <c r="I50" s="11" t="str">
        <f aca="false">IF(OR($A50="",COUNTIFS(Answers!$A$4:$A$203,$A50,Answers!$B$4:$B$203,"Last")=0),"",SUMIFS(Answers!$AC$4:$AC$203,Answers!$A$4:$A$203,$A50,Answers!$B$4:$B$203,"Last"))</f>
        <v/>
      </c>
      <c r="J50" s="12" t="str">
        <f aca="false">IF(OR($A50="",COUNTIFS(Answers!$A$4:$A$203,$A50,Answers!$B$4:$B$203,"First")=0),"",SUMIFS(Answers!$AD$4:$AD$203,Answers!$A$4:$A$203,$A50,Answers!$B$4:$B$203,"First"))</f>
        <v/>
      </c>
      <c r="K50" s="12" t="str">
        <f aca="false">IF(OR($A50="",COUNTIFS(Answers!$A$4:$A$203,$A50,Answers!$B$4:$B$203,"Last")=0),"",SUMIFS(Answers!$AD$4:$AD$203,Answers!$A$4:$A$203,$A50,Answers!$B$4:$B$203,"Last"))</f>
        <v/>
      </c>
      <c r="L50" s="12" t="str">
        <f aca="false">IF(OR($A50="",COUNTIFS(Answers!$A$4:$A$203,$A50,Answers!$B$4:$B$203,"First")=0),"",SUMIFS(Answers!$AE$4:$AE$203,Answers!$A$4:$A$203,$A50,Answers!$B$4:$B$203,"First"))</f>
        <v/>
      </c>
      <c r="M50" s="12" t="str">
        <f aca="false">IF(OR($A50="",COUNTIFS(Answers!$A$4:$A$203,$A50,Answers!$B$4:$B$203,"Last")=0),"",SUMIFS(Answers!$AE$4:$AE$203,Answers!$A$4:$A$203,$A50,Answers!$B$4:$B$203,"Last"))</f>
        <v/>
      </c>
      <c r="N50" s="11" t="n">
        <f aca="false">IF(AND(B50&lt;&gt;"",C50&lt;&gt;""),1,0)</f>
        <v>0</v>
      </c>
      <c r="O50" s="11" t="str">
        <f aca="false">IF($A50="","",IF(MAX(COUNTIFS(Answers!$A$4:$A$203,$A50,Answers!$B$4:$B$203,"First"),COUNTIFS(Answers!$A$4:$A$203,$A50,Answers!$B$4:$B$203,"Last"))&gt;1,"Two rows for one session: keep one",IF(B50="","No first session",IF(C50="","No last session",""))))</f>
        <v/>
      </c>
    </row>
    <row r="51" customFormat="false" ht="15" hidden="false" customHeight="false" outlineLevel="0" collapsed="false">
      <c r="A51" s="9"/>
      <c r="B51" s="11" t="str">
        <f aca="false">IF(OR($A51="",COUNTIFS(Answers!$A$4:$A$203,$A51,Answers!$B$4:$B$203,"First")=0),"",SUMIFS(Answers!$AA$4:$AA$203,Answers!$A$4:$A$203,$A51,Answers!$B$4:$B$203,"First"))</f>
        <v/>
      </c>
      <c r="C51" s="11" t="str">
        <f aca="false">IF(OR($A51="",COUNTIFS(Answers!$A$4:$A$203,$A51,Answers!$B$4:$B$203,"Last")=0),"",SUMIFS(Answers!$AA$4:$AA$203,Answers!$A$4:$A$203,$A51,Answers!$B$4:$B$203,"Last"))</f>
        <v/>
      </c>
      <c r="D51" s="11" t="str">
        <f aca="false">IF(N51=1,C51-B51,"")</f>
        <v/>
      </c>
      <c r="E51" s="19" t="str">
        <f aca="false">IF(OR(N51&lt;&gt;1,B51=16),"",(C51-B51)/(16-B51))</f>
        <v/>
      </c>
      <c r="F51" s="11" t="str">
        <f aca="false">IF(OR($A51="",COUNTIFS(Answers!$A$4:$A$203,$A51,Answers!$B$4:$B$203,"First")=0),"",SUMIFS(Answers!$AB$4:$AB$203,Answers!$A$4:$A$203,$A51,Answers!$B$4:$B$203,"First"))</f>
        <v/>
      </c>
      <c r="G51" s="11" t="str">
        <f aca="false">IF(OR($A51="",COUNTIFS(Answers!$A$4:$A$203,$A51,Answers!$B$4:$B$203,"Last")=0),"",SUMIFS(Answers!$AB$4:$AB$203,Answers!$A$4:$A$203,$A51,Answers!$B$4:$B$203,"Last"))</f>
        <v/>
      </c>
      <c r="H51" s="11" t="str">
        <f aca="false">IF(OR($A51="",COUNTIFS(Answers!$A$4:$A$203,$A51,Answers!$B$4:$B$203,"First")=0),"",SUMIFS(Answers!$AC$4:$AC$203,Answers!$A$4:$A$203,$A51,Answers!$B$4:$B$203,"First"))</f>
        <v/>
      </c>
      <c r="I51" s="11" t="str">
        <f aca="false">IF(OR($A51="",COUNTIFS(Answers!$A$4:$A$203,$A51,Answers!$B$4:$B$203,"Last")=0),"",SUMIFS(Answers!$AC$4:$AC$203,Answers!$A$4:$A$203,$A51,Answers!$B$4:$B$203,"Last"))</f>
        <v/>
      </c>
      <c r="J51" s="12" t="str">
        <f aca="false">IF(OR($A51="",COUNTIFS(Answers!$A$4:$A$203,$A51,Answers!$B$4:$B$203,"First")=0),"",SUMIFS(Answers!$AD$4:$AD$203,Answers!$A$4:$A$203,$A51,Answers!$B$4:$B$203,"First"))</f>
        <v/>
      </c>
      <c r="K51" s="12" t="str">
        <f aca="false">IF(OR($A51="",COUNTIFS(Answers!$A$4:$A$203,$A51,Answers!$B$4:$B$203,"Last")=0),"",SUMIFS(Answers!$AD$4:$AD$203,Answers!$A$4:$A$203,$A51,Answers!$B$4:$B$203,"Last"))</f>
        <v/>
      </c>
      <c r="L51" s="12" t="str">
        <f aca="false">IF(OR($A51="",COUNTIFS(Answers!$A$4:$A$203,$A51,Answers!$B$4:$B$203,"First")=0),"",SUMIFS(Answers!$AE$4:$AE$203,Answers!$A$4:$A$203,$A51,Answers!$B$4:$B$203,"First"))</f>
        <v/>
      </c>
      <c r="M51" s="12" t="str">
        <f aca="false">IF(OR($A51="",COUNTIFS(Answers!$A$4:$A$203,$A51,Answers!$B$4:$B$203,"Last")=0),"",SUMIFS(Answers!$AE$4:$AE$203,Answers!$A$4:$A$203,$A51,Answers!$B$4:$B$203,"Last"))</f>
        <v/>
      </c>
      <c r="N51" s="11" t="n">
        <f aca="false">IF(AND(B51&lt;&gt;"",C51&lt;&gt;""),1,0)</f>
        <v>0</v>
      </c>
      <c r="O51" s="11" t="str">
        <f aca="false">IF($A51="","",IF(MAX(COUNTIFS(Answers!$A$4:$A$203,$A51,Answers!$B$4:$B$203,"First"),COUNTIFS(Answers!$A$4:$A$203,$A51,Answers!$B$4:$B$203,"Last"))&gt;1,"Two rows for one session: keep one",IF(B51="","No first session",IF(C51="","No last session",""))))</f>
        <v/>
      </c>
    </row>
    <row r="52" customFormat="false" ht="15" hidden="false" customHeight="false" outlineLevel="0" collapsed="false">
      <c r="A52" s="9"/>
      <c r="B52" s="11" t="str">
        <f aca="false">IF(OR($A52="",COUNTIFS(Answers!$A$4:$A$203,$A52,Answers!$B$4:$B$203,"First")=0),"",SUMIFS(Answers!$AA$4:$AA$203,Answers!$A$4:$A$203,$A52,Answers!$B$4:$B$203,"First"))</f>
        <v/>
      </c>
      <c r="C52" s="11" t="str">
        <f aca="false">IF(OR($A52="",COUNTIFS(Answers!$A$4:$A$203,$A52,Answers!$B$4:$B$203,"Last")=0),"",SUMIFS(Answers!$AA$4:$AA$203,Answers!$A$4:$A$203,$A52,Answers!$B$4:$B$203,"Last"))</f>
        <v/>
      </c>
      <c r="D52" s="11" t="str">
        <f aca="false">IF(N52=1,C52-B52,"")</f>
        <v/>
      </c>
      <c r="E52" s="19" t="str">
        <f aca="false">IF(OR(N52&lt;&gt;1,B52=16),"",(C52-B52)/(16-B52))</f>
        <v/>
      </c>
      <c r="F52" s="11" t="str">
        <f aca="false">IF(OR($A52="",COUNTIFS(Answers!$A$4:$A$203,$A52,Answers!$B$4:$B$203,"First")=0),"",SUMIFS(Answers!$AB$4:$AB$203,Answers!$A$4:$A$203,$A52,Answers!$B$4:$B$203,"First"))</f>
        <v/>
      </c>
      <c r="G52" s="11" t="str">
        <f aca="false">IF(OR($A52="",COUNTIFS(Answers!$A$4:$A$203,$A52,Answers!$B$4:$B$203,"Last")=0),"",SUMIFS(Answers!$AB$4:$AB$203,Answers!$A$4:$A$203,$A52,Answers!$B$4:$B$203,"Last"))</f>
        <v/>
      </c>
      <c r="H52" s="11" t="str">
        <f aca="false">IF(OR($A52="",COUNTIFS(Answers!$A$4:$A$203,$A52,Answers!$B$4:$B$203,"First")=0),"",SUMIFS(Answers!$AC$4:$AC$203,Answers!$A$4:$A$203,$A52,Answers!$B$4:$B$203,"First"))</f>
        <v/>
      </c>
      <c r="I52" s="11" t="str">
        <f aca="false">IF(OR($A52="",COUNTIFS(Answers!$A$4:$A$203,$A52,Answers!$B$4:$B$203,"Last")=0),"",SUMIFS(Answers!$AC$4:$AC$203,Answers!$A$4:$A$203,$A52,Answers!$B$4:$B$203,"Last"))</f>
        <v/>
      </c>
      <c r="J52" s="12" t="str">
        <f aca="false">IF(OR($A52="",COUNTIFS(Answers!$A$4:$A$203,$A52,Answers!$B$4:$B$203,"First")=0),"",SUMIFS(Answers!$AD$4:$AD$203,Answers!$A$4:$A$203,$A52,Answers!$B$4:$B$203,"First"))</f>
        <v/>
      </c>
      <c r="K52" s="12" t="str">
        <f aca="false">IF(OR($A52="",COUNTIFS(Answers!$A$4:$A$203,$A52,Answers!$B$4:$B$203,"Last")=0),"",SUMIFS(Answers!$AD$4:$AD$203,Answers!$A$4:$A$203,$A52,Answers!$B$4:$B$203,"Last"))</f>
        <v/>
      </c>
      <c r="L52" s="12" t="str">
        <f aca="false">IF(OR($A52="",COUNTIFS(Answers!$A$4:$A$203,$A52,Answers!$B$4:$B$203,"First")=0),"",SUMIFS(Answers!$AE$4:$AE$203,Answers!$A$4:$A$203,$A52,Answers!$B$4:$B$203,"First"))</f>
        <v/>
      </c>
      <c r="M52" s="12" t="str">
        <f aca="false">IF(OR($A52="",COUNTIFS(Answers!$A$4:$A$203,$A52,Answers!$B$4:$B$203,"Last")=0),"",SUMIFS(Answers!$AE$4:$AE$203,Answers!$A$4:$A$203,$A52,Answers!$B$4:$B$203,"Last"))</f>
        <v/>
      </c>
      <c r="N52" s="11" t="n">
        <f aca="false">IF(AND(B52&lt;&gt;"",C52&lt;&gt;""),1,0)</f>
        <v>0</v>
      </c>
      <c r="O52" s="11" t="str">
        <f aca="false">IF($A52="","",IF(MAX(COUNTIFS(Answers!$A$4:$A$203,$A52,Answers!$B$4:$B$203,"First"),COUNTIFS(Answers!$A$4:$A$203,$A52,Answers!$B$4:$B$203,"Last"))&gt;1,"Two rows for one session: keep one",IF(B52="","No first session",IF(C52="","No last session",""))))</f>
        <v/>
      </c>
    </row>
    <row r="53" customFormat="false" ht="15" hidden="false" customHeight="false" outlineLevel="0" collapsed="false">
      <c r="A53" s="9"/>
      <c r="B53" s="11" t="str">
        <f aca="false">IF(OR($A53="",COUNTIFS(Answers!$A$4:$A$203,$A53,Answers!$B$4:$B$203,"First")=0),"",SUMIFS(Answers!$AA$4:$AA$203,Answers!$A$4:$A$203,$A53,Answers!$B$4:$B$203,"First"))</f>
        <v/>
      </c>
      <c r="C53" s="11" t="str">
        <f aca="false">IF(OR($A53="",COUNTIFS(Answers!$A$4:$A$203,$A53,Answers!$B$4:$B$203,"Last")=0),"",SUMIFS(Answers!$AA$4:$AA$203,Answers!$A$4:$A$203,$A53,Answers!$B$4:$B$203,"Last"))</f>
        <v/>
      </c>
      <c r="D53" s="11" t="str">
        <f aca="false">IF(N53=1,C53-B53,"")</f>
        <v/>
      </c>
      <c r="E53" s="19" t="str">
        <f aca="false">IF(OR(N53&lt;&gt;1,B53=16),"",(C53-B53)/(16-B53))</f>
        <v/>
      </c>
      <c r="F53" s="11" t="str">
        <f aca="false">IF(OR($A53="",COUNTIFS(Answers!$A$4:$A$203,$A53,Answers!$B$4:$B$203,"First")=0),"",SUMIFS(Answers!$AB$4:$AB$203,Answers!$A$4:$A$203,$A53,Answers!$B$4:$B$203,"First"))</f>
        <v/>
      </c>
      <c r="G53" s="11" t="str">
        <f aca="false">IF(OR($A53="",COUNTIFS(Answers!$A$4:$A$203,$A53,Answers!$B$4:$B$203,"Last")=0),"",SUMIFS(Answers!$AB$4:$AB$203,Answers!$A$4:$A$203,$A53,Answers!$B$4:$B$203,"Last"))</f>
        <v/>
      </c>
      <c r="H53" s="11" t="str">
        <f aca="false">IF(OR($A53="",COUNTIFS(Answers!$A$4:$A$203,$A53,Answers!$B$4:$B$203,"First")=0),"",SUMIFS(Answers!$AC$4:$AC$203,Answers!$A$4:$A$203,$A53,Answers!$B$4:$B$203,"First"))</f>
        <v/>
      </c>
      <c r="I53" s="11" t="str">
        <f aca="false">IF(OR($A53="",COUNTIFS(Answers!$A$4:$A$203,$A53,Answers!$B$4:$B$203,"Last")=0),"",SUMIFS(Answers!$AC$4:$AC$203,Answers!$A$4:$A$203,$A53,Answers!$B$4:$B$203,"Last"))</f>
        <v/>
      </c>
      <c r="J53" s="12" t="str">
        <f aca="false">IF(OR($A53="",COUNTIFS(Answers!$A$4:$A$203,$A53,Answers!$B$4:$B$203,"First")=0),"",SUMIFS(Answers!$AD$4:$AD$203,Answers!$A$4:$A$203,$A53,Answers!$B$4:$B$203,"First"))</f>
        <v/>
      </c>
      <c r="K53" s="12" t="str">
        <f aca="false">IF(OR($A53="",COUNTIFS(Answers!$A$4:$A$203,$A53,Answers!$B$4:$B$203,"Last")=0),"",SUMIFS(Answers!$AD$4:$AD$203,Answers!$A$4:$A$203,$A53,Answers!$B$4:$B$203,"Last"))</f>
        <v/>
      </c>
      <c r="L53" s="12" t="str">
        <f aca="false">IF(OR($A53="",COUNTIFS(Answers!$A$4:$A$203,$A53,Answers!$B$4:$B$203,"First")=0),"",SUMIFS(Answers!$AE$4:$AE$203,Answers!$A$4:$A$203,$A53,Answers!$B$4:$B$203,"First"))</f>
        <v/>
      </c>
      <c r="M53" s="12" t="str">
        <f aca="false">IF(OR($A53="",COUNTIFS(Answers!$A$4:$A$203,$A53,Answers!$B$4:$B$203,"Last")=0),"",SUMIFS(Answers!$AE$4:$AE$203,Answers!$A$4:$A$203,$A53,Answers!$B$4:$B$203,"Last"))</f>
        <v/>
      </c>
      <c r="N53" s="11" t="n">
        <f aca="false">IF(AND(B53&lt;&gt;"",C53&lt;&gt;""),1,0)</f>
        <v>0</v>
      </c>
      <c r="O53" s="11" t="str">
        <f aca="false">IF($A53="","",IF(MAX(COUNTIFS(Answers!$A$4:$A$203,$A53,Answers!$B$4:$B$203,"First"),COUNTIFS(Answers!$A$4:$A$203,$A53,Answers!$B$4:$B$203,"Last"))&gt;1,"Two rows for one session: keep one",IF(B53="","No first session",IF(C53="","No last session",""))))</f>
        <v/>
      </c>
    </row>
    <row r="54" customFormat="false" ht="15" hidden="false" customHeight="false" outlineLevel="0" collapsed="false">
      <c r="A54" s="9"/>
      <c r="B54" s="11" t="str">
        <f aca="false">IF(OR($A54="",COUNTIFS(Answers!$A$4:$A$203,$A54,Answers!$B$4:$B$203,"First")=0),"",SUMIFS(Answers!$AA$4:$AA$203,Answers!$A$4:$A$203,$A54,Answers!$B$4:$B$203,"First"))</f>
        <v/>
      </c>
      <c r="C54" s="11" t="str">
        <f aca="false">IF(OR($A54="",COUNTIFS(Answers!$A$4:$A$203,$A54,Answers!$B$4:$B$203,"Last")=0),"",SUMIFS(Answers!$AA$4:$AA$203,Answers!$A$4:$A$203,$A54,Answers!$B$4:$B$203,"Last"))</f>
        <v/>
      </c>
      <c r="D54" s="11" t="str">
        <f aca="false">IF(N54=1,C54-B54,"")</f>
        <v/>
      </c>
      <c r="E54" s="19" t="str">
        <f aca="false">IF(OR(N54&lt;&gt;1,B54=16),"",(C54-B54)/(16-B54))</f>
        <v/>
      </c>
      <c r="F54" s="11" t="str">
        <f aca="false">IF(OR($A54="",COUNTIFS(Answers!$A$4:$A$203,$A54,Answers!$B$4:$B$203,"First")=0),"",SUMIFS(Answers!$AB$4:$AB$203,Answers!$A$4:$A$203,$A54,Answers!$B$4:$B$203,"First"))</f>
        <v/>
      </c>
      <c r="G54" s="11" t="str">
        <f aca="false">IF(OR($A54="",COUNTIFS(Answers!$A$4:$A$203,$A54,Answers!$B$4:$B$203,"Last")=0),"",SUMIFS(Answers!$AB$4:$AB$203,Answers!$A$4:$A$203,$A54,Answers!$B$4:$B$203,"Last"))</f>
        <v/>
      </c>
      <c r="H54" s="11" t="str">
        <f aca="false">IF(OR($A54="",COUNTIFS(Answers!$A$4:$A$203,$A54,Answers!$B$4:$B$203,"First")=0),"",SUMIFS(Answers!$AC$4:$AC$203,Answers!$A$4:$A$203,$A54,Answers!$B$4:$B$203,"First"))</f>
        <v/>
      </c>
      <c r="I54" s="11" t="str">
        <f aca="false">IF(OR($A54="",COUNTIFS(Answers!$A$4:$A$203,$A54,Answers!$B$4:$B$203,"Last")=0),"",SUMIFS(Answers!$AC$4:$AC$203,Answers!$A$4:$A$203,$A54,Answers!$B$4:$B$203,"Last"))</f>
        <v/>
      </c>
      <c r="J54" s="12" t="str">
        <f aca="false">IF(OR($A54="",COUNTIFS(Answers!$A$4:$A$203,$A54,Answers!$B$4:$B$203,"First")=0),"",SUMIFS(Answers!$AD$4:$AD$203,Answers!$A$4:$A$203,$A54,Answers!$B$4:$B$203,"First"))</f>
        <v/>
      </c>
      <c r="K54" s="12" t="str">
        <f aca="false">IF(OR($A54="",COUNTIFS(Answers!$A$4:$A$203,$A54,Answers!$B$4:$B$203,"Last")=0),"",SUMIFS(Answers!$AD$4:$AD$203,Answers!$A$4:$A$203,$A54,Answers!$B$4:$B$203,"Last"))</f>
        <v/>
      </c>
      <c r="L54" s="12" t="str">
        <f aca="false">IF(OR($A54="",COUNTIFS(Answers!$A$4:$A$203,$A54,Answers!$B$4:$B$203,"First")=0),"",SUMIFS(Answers!$AE$4:$AE$203,Answers!$A$4:$A$203,$A54,Answers!$B$4:$B$203,"First"))</f>
        <v/>
      </c>
      <c r="M54" s="12" t="str">
        <f aca="false">IF(OR($A54="",COUNTIFS(Answers!$A$4:$A$203,$A54,Answers!$B$4:$B$203,"Last")=0),"",SUMIFS(Answers!$AE$4:$AE$203,Answers!$A$4:$A$203,$A54,Answers!$B$4:$B$203,"Last"))</f>
        <v/>
      </c>
      <c r="N54" s="11" t="n">
        <f aca="false">IF(AND(B54&lt;&gt;"",C54&lt;&gt;""),1,0)</f>
        <v>0</v>
      </c>
      <c r="O54" s="11" t="str">
        <f aca="false">IF($A54="","",IF(MAX(COUNTIFS(Answers!$A$4:$A$203,$A54,Answers!$B$4:$B$203,"First"),COUNTIFS(Answers!$A$4:$A$203,$A54,Answers!$B$4:$B$203,"Last"))&gt;1,"Two rows for one session: keep one",IF(B54="","No first session",IF(C54="","No last session",""))))</f>
        <v/>
      </c>
    </row>
    <row r="55" customFormat="false" ht="15" hidden="false" customHeight="false" outlineLevel="0" collapsed="false">
      <c r="A55" s="9"/>
      <c r="B55" s="11" t="str">
        <f aca="false">IF(OR($A55="",COUNTIFS(Answers!$A$4:$A$203,$A55,Answers!$B$4:$B$203,"First")=0),"",SUMIFS(Answers!$AA$4:$AA$203,Answers!$A$4:$A$203,$A55,Answers!$B$4:$B$203,"First"))</f>
        <v/>
      </c>
      <c r="C55" s="11" t="str">
        <f aca="false">IF(OR($A55="",COUNTIFS(Answers!$A$4:$A$203,$A55,Answers!$B$4:$B$203,"Last")=0),"",SUMIFS(Answers!$AA$4:$AA$203,Answers!$A$4:$A$203,$A55,Answers!$B$4:$B$203,"Last"))</f>
        <v/>
      </c>
      <c r="D55" s="11" t="str">
        <f aca="false">IF(N55=1,C55-B55,"")</f>
        <v/>
      </c>
      <c r="E55" s="19" t="str">
        <f aca="false">IF(OR(N55&lt;&gt;1,B55=16),"",(C55-B55)/(16-B55))</f>
        <v/>
      </c>
      <c r="F55" s="11" t="str">
        <f aca="false">IF(OR($A55="",COUNTIFS(Answers!$A$4:$A$203,$A55,Answers!$B$4:$B$203,"First")=0),"",SUMIFS(Answers!$AB$4:$AB$203,Answers!$A$4:$A$203,$A55,Answers!$B$4:$B$203,"First"))</f>
        <v/>
      </c>
      <c r="G55" s="11" t="str">
        <f aca="false">IF(OR($A55="",COUNTIFS(Answers!$A$4:$A$203,$A55,Answers!$B$4:$B$203,"Last")=0),"",SUMIFS(Answers!$AB$4:$AB$203,Answers!$A$4:$A$203,$A55,Answers!$B$4:$B$203,"Last"))</f>
        <v/>
      </c>
      <c r="H55" s="11" t="str">
        <f aca="false">IF(OR($A55="",COUNTIFS(Answers!$A$4:$A$203,$A55,Answers!$B$4:$B$203,"First")=0),"",SUMIFS(Answers!$AC$4:$AC$203,Answers!$A$4:$A$203,$A55,Answers!$B$4:$B$203,"First"))</f>
        <v/>
      </c>
      <c r="I55" s="11" t="str">
        <f aca="false">IF(OR($A55="",COUNTIFS(Answers!$A$4:$A$203,$A55,Answers!$B$4:$B$203,"Last")=0),"",SUMIFS(Answers!$AC$4:$AC$203,Answers!$A$4:$A$203,$A55,Answers!$B$4:$B$203,"Last"))</f>
        <v/>
      </c>
      <c r="J55" s="12" t="str">
        <f aca="false">IF(OR($A55="",COUNTIFS(Answers!$A$4:$A$203,$A55,Answers!$B$4:$B$203,"First")=0),"",SUMIFS(Answers!$AD$4:$AD$203,Answers!$A$4:$A$203,$A55,Answers!$B$4:$B$203,"First"))</f>
        <v/>
      </c>
      <c r="K55" s="12" t="str">
        <f aca="false">IF(OR($A55="",COUNTIFS(Answers!$A$4:$A$203,$A55,Answers!$B$4:$B$203,"Last")=0),"",SUMIFS(Answers!$AD$4:$AD$203,Answers!$A$4:$A$203,$A55,Answers!$B$4:$B$203,"Last"))</f>
        <v/>
      </c>
      <c r="L55" s="12" t="str">
        <f aca="false">IF(OR($A55="",COUNTIFS(Answers!$A$4:$A$203,$A55,Answers!$B$4:$B$203,"First")=0),"",SUMIFS(Answers!$AE$4:$AE$203,Answers!$A$4:$A$203,$A55,Answers!$B$4:$B$203,"First"))</f>
        <v/>
      </c>
      <c r="M55" s="12" t="str">
        <f aca="false">IF(OR($A55="",COUNTIFS(Answers!$A$4:$A$203,$A55,Answers!$B$4:$B$203,"Last")=0),"",SUMIFS(Answers!$AE$4:$AE$203,Answers!$A$4:$A$203,$A55,Answers!$B$4:$B$203,"Last"))</f>
        <v/>
      </c>
      <c r="N55" s="11" t="n">
        <f aca="false">IF(AND(B55&lt;&gt;"",C55&lt;&gt;""),1,0)</f>
        <v>0</v>
      </c>
      <c r="O55" s="11" t="str">
        <f aca="false">IF($A55="","",IF(MAX(COUNTIFS(Answers!$A$4:$A$203,$A55,Answers!$B$4:$B$203,"First"),COUNTIFS(Answers!$A$4:$A$203,$A55,Answers!$B$4:$B$203,"Last"))&gt;1,"Two rows for one session: keep one",IF(B55="","No first session",IF(C55="","No last session",""))))</f>
        <v/>
      </c>
    </row>
    <row r="56" customFormat="false" ht="15" hidden="false" customHeight="false" outlineLevel="0" collapsed="false">
      <c r="A56" s="9"/>
      <c r="B56" s="11" t="str">
        <f aca="false">IF(OR($A56="",COUNTIFS(Answers!$A$4:$A$203,$A56,Answers!$B$4:$B$203,"First")=0),"",SUMIFS(Answers!$AA$4:$AA$203,Answers!$A$4:$A$203,$A56,Answers!$B$4:$B$203,"First"))</f>
        <v/>
      </c>
      <c r="C56" s="11" t="str">
        <f aca="false">IF(OR($A56="",COUNTIFS(Answers!$A$4:$A$203,$A56,Answers!$B$4:$B$203,"Last")=0),"",SUMIFS(Answers!$AA$4:$AA$203,Answers!$A$4:$A$203,$A56,Answers!$B$4:$B$203,"Last"))</f>
        <v/>
      </c>
      <c r="D56" s="11" t="str">
        <f aca="false">IF(N56=1,C56-B56,"")</f>
        <v/>
      </c>
      <c r="E56" s="19" t="str">
        <f aca="false">IF(OR(N56&lt;&gt;1,B56=16),"",(C56-B56)/(16-B56))</f>
        <v/>
      </c>
      <c r="F56" s="11" t="str">
        <f aca="false">IF(OR($A56="",COUNTIFS(Answers!$A$4:$A$203,$A56,Answers!$B$4:$B$203,"First")=0),"",SUMIFS(Answers!$AB$4:$AB$203,Answers!$A$4:$A$203,$A56,Answers!$B$4:$B$203,"First"))</f>
        <v/>
      </c>
      <c r="G56" s="11" t="str">
        <f aca="false">IF(OR($A56="",COUNTIFS(Answers!$A$4:$A$203,$A56,Answers!$B$4:$B$203,"Last")=0),"",SUMIFS(Answers!$AB$4:$AB$203,Answers!$A$4:$A$203,$A56,Answers!$B$4:$B$203,"Last"))</f>
        <v/>
      </c>
      <c r="H56" s="11" t="str">
        <f aca="false">IF(OR($A56="",COUNTIFS(Answers!$A$4:$A$203,$A56,Answers!$B$4:$B$203,"First")=0),"",SUMIFS(Answers!$AC$4:$AC$203,Answers!$A$4:$A$203,$A56,Answers!$B$4:$B$203,"First"))</f>
        <v/>
      </c>
      <c r="I56" s="11" t="str">
        <f aca="false">IF(OR($A56="",COUNTIFS(Answers!$A$4:$A$203,$A56,Answers!$B$4:$B$203,"Last")=0),"",SUMIFS(Answers!$AC$4:$AC$203,Answers!$A$4:$A$203,$A56,Answers!$B$4:$B$203,"Last"))</f>
        <v/>
      </c>
      <c r="J56" s="12" t="str">
        <f aca="false">IF(OR($A56="",COUNTIFS(Answers!$A$4:$A$203,$A56,Answers!$B$4:$B$203,"First")=0),"",SUMIFS(Answers!$AD$4:$AD$203,Answers!$A$4:$A$203,$A56,Answers!$B$4:$B$203,"First"))</f>
        <v/>
      </c>
      <c r="K56" s="12" t="str">
        <f aca="false">IF(OR($A56="",COUNTIFS(Answers!$A$4:$A$203,$A56,Answers!$B$4:$B$203,"Last")=0),"",SUMIFS(Answers!$AD$4:$AD$203,Answers!$A$4:$A$203,$A56,Answers!$B$4:$B$203,"Last"))</f>
        <v/>
      </c>
      <c r="L56" s="12" t="str">
        <f aca="false">IF(OR($A56="",COUNTIFS(Answers!$A$4:$A$203,$A56,Answers!$B$4:$B$203,"First")=0),"",SUMIFS(Answers!$AE$4:$AE$203,Answers!$A$4:$A$203,$A56,Answers!$B$4:$B$203,"First"))</f>
        <v/>
      </c>
      <c r="M56" s="12" t="str">
        <f aca="false">IF(OR($A56="",COUNTIFS(Answers!$A$4:$A$203,$A56,Answers!$B$4:$B$203,"Last")=0),"",SUMIFS(Answers!$AE$4:$AE$203,Answers!$A$4:$A$203,$A56,Answers!$B$4:$B$203,"Last"))</f>
        <v/>
      </c>
      <c r="N56" s="11" t="n">
        <f aca="false">IF(AND(B56&lt;&gt;"",C56&lt;&gt;""),1,0)</f>
        <v>0</v>
      </c>
      <c r="O56" s="11" t="str">
        <f aca="false">IF($A56="","",IF(MAX(COUNTIFS(Answers!$A$4:$A$203,$A56,Answers!$B$4:$B$203,"First"),COUNTIFS(Answers!$A$4:$A$203,$A56,Answers!$B$4:$B$203,"Last"))&gt;1,"Two rows for one session: keep one",IF(B56="","No first session",IF(C56="","No last session",""))))</f>
        <v/>
      </c>
    </row>
    <row r="57" customFormat="false" ht="15" hidden="false" customHeight="false" outlineLevel="0" collapsed="false">
      <c r="A57" s="9"/>
      <c r="B57" s="11" t="str">
        <f aca="false">IF(OR($A57="",COUNTIFS(Answers!$A$4:$A$203,$A57,Answers!$B$4:$B$203,"First")=0),"",SUMIFS(Answers!$AA$4:$AA$203,Answers!$A$4:$A$203,$A57,Answers!$B$4:$B$203,"First"))</f>
        <v/>
      </c>
      <c r="C57" s="11" t="str">
        <f aca="false">IF(OR($A57="",COUNTIFS(Answers!$A$4:$A$203,$A57,Answers!$B$4:$B$203,"Last")=0),"",SUMIFS(Answers!$AA$4:$AA$203,Answers!$A$4:$A$203,$A57,Answers!$B$4:$B$203,"Last"))</f>
        <v/>
      </c>
      <c r="D57" s="11" t="str">
        <f aca="false">IF(N57=1,C57-B57,"")</f>
        <v/>
      </c>
      <c r="E57" s="19" t="str">
        <f aca="false">IF(OR(N57&lt;&gt;1,B57=16),"",(C57-B57)/(16-B57))</f>
        <v/>
      </c>
      <c r="F57" s="11" t="str">
        <f aca="false">IF(OR($A57="",COUNTIFS(Answers!$A$4:$A$203,$A57,Answers!$B$4:$B$203,"First")=0),"",SUMIFS(Answers!$AB$4:$AB$203,Answers!$A$4:$A$203,$A57,Answers!$B$4:$B$203,"First"))</f>
        <v/>
      </c>
      <c r="G57" s="11" t="str">
        <f aca="false">IF(OR($A57="",COUNTIFS(Answers!$A$4:$A$203,$A57,Answers!$B$4:$B$203,"Last")=0),"",SUMIFS(Answers!$AB$4:$AB$203,Answers!$A$4:$A$203,$A57,Answers!$B$4:$B$203,"Last"))</f>
        <v/>
      </c>
      <c r="H57" s="11" t="str">
        <f aca="false">IF(OR($A57="",COUNTIFS(Answers!$A$4:$A$203,$A57,Answers!$B$4:$B$203,"First")=0),"",SUMIFS(Answers!$AC$4:$AC$203,Answers!$A$4:$A$203,$A57,Answers!$B$4:$B$203,"First"))</f>
        <v/>
      </c>
      <c r="I57" s="11" t="str">
        <f aca="false">IF(OR($A57="",COUNTIFS(Answers!$A$4:$A$203,$A57,Answers!$B$4:$B$203,"Last")=0),"",SUMIFS(Answers!$AC$4:$AC$203,Answers!$A$4:$A$203,$A57,Answers!$B$4:$B$203,"Last"))</f>
        <v/>
      </c>
      <c r="J57" s="12" t="str">
        <f aca="false">IF(OR($A57="",COUNTIFS(Answers!$A$4:$A$203,$A57,Answers!$B$4:$B$203,"First")=0),"",SUMIFS(Answers!$AD$4:$AD$203,Answers!$A$4:$A$203,$A57,Answers!$B$4:$B$203,"First"))</f>
        <v/>
      </c>
      <c r="K57" s="12" t="str">
        <f aca="false">IF(OR($A57="",COUNTIFS(Answers!$A$4:$A$203,$A57,Answers!$B$4:$B$203,"Last")=0),"",SUMIFS(Answers!$AD$4:$AD$203,Answers!$A$4:$A$203,$A57,Answers!$B$4:$B$203,"Last"))</f>
        <v/>
      </c>
      <c r="L57" s="12" t="str">
        <f aca="false">IF(OR($A57="",COUNTIFS(Answers!$A$4:$A$203,$A57,Answers!$B$4:$B$203,"First")=0),"",SUMIFS(Answers!$AE$4:$AE$203,Answers!$A$4:$A$203,$A57,Answers!$B$4:$B$203,"First"))</f>
        <v/>
      </c>
      <c r="M57" s="12" t="str">
        <f aca="false">IF(OR($A57="",COUNTIFS(Answers!$A$4:$A$203,$A57,Answers!$B$4:$B$203,"Last")=0),"",SUMIFS(Answers!$AE$4:$AE$203,Answers!$A$4:$A$203,$A57,Answers!$B$4:$B$203,"Last"))</f>
        <v/>
      </c>
      <c r="N57" s="11" t="n">
        <f aca="false">IF(AND(B57&lt;&gt;"",C57&lt;&gt;""),1,0)</f>
        <v>0</v>
      </c>
      <c r="O57" s="11" t="str">
        <f aca="false">IF($A57="","",IF(MAX(COUNTIFS(Answers!$A$4:$A$203,$A57,Answers!$B$4:$B$203,"First"),COUNTIFS(Answers!$A$4:$A$203,$A57,Answers!$B$4:$B$203,"Last"))&gt;1,"Two rows for one session: keep one",IF(B57="","No first session",IF(C57="","No last session",""))))</f>
        <v/>
      </c>
    </row>
    <row r="58" customFormat="false" ht="15" hidden="false" customHeight="false" outlineLevel="0" collapsed="false">
      <c r="A58" s="9"/>
      <c r="B58" s="11" t="str">
        <f aca="false">IF(OR($A58="",COUNTIFS(Answers!$A$4:$A$203,$A58,Answers!$B$4:$B$203,"First")=0),"",SUMIFS(Answers!$AA$4:$AA$203,Answers!$A$4:$A$203,$A58,Answers!$B$4:$B$203,"First"))</f>
        <v/>
      </c>
      <c r="C58" s="11" t="str">
        <f aca="false">IF(OR($A58="",COUNTIFS(Answers!$A$4:$A$203,$A58,Answers!$B$4:$B$203,"Last")=0),"",SUMIFS(Answers!$AA$4:$AA$203,Answers!$A$4:$A$203,$A58,Answers!$B$4:$B$203,"Last"))</f>
        <v/>
      </c>
      <c r="D58" s="11" t="str">
        <f aca="false">IF(N58=1,C58-B58,"")</f>
        <v/>
      </c>
      <c r="E58" s="19" t="str">
        <f aca="false">IF(OR(N58&lt;&gt;1,B58=16),"",(C58-B58)/(16-B58))</f>
        <v/>
      </c>
      <c r="F58" s="11" t="str">
        <f aca="false">IF(OR($A58="",COUNTIFS(Answers!$A$4:$A$203,$A58,Answers!$B$4:$B$203,"First")=0),"",SUMIFS(Answers!$AB$4:$AB$203,Answers!$A$4:$A$203,$A58,Answers!$B$4:$B$203,"First"))</f>
        <v/>
      </c>
      <c r="G58" s="11" t="str">
        <f aca="false">IF(OR($A58="",COUNTIFS(Answers!$A$4:$A$203,$A58,Answers!$B$4:$B$203,"Last")=0),"",SUMIFS(Answers!$AB$4:$AB$203,Answers!$A$4:$A$203,$A58,Answers!$B$4:$B$203,"Last"))</f>
        <v/>
      </c>
      <c r="H58" s="11" t="str">
        <f aca="false">IF(OR($A58="",COUNTIFS(Answers!$A$4:$A$203,$A58,Answers!$B$4:$B$203,"First")=0),"",SUMIFS(Answers!$AC$4:$AC$203,Answers!$A$4:$A$203,$A58,Answers!$B$4:$B$203,"First"))</f>
        <v/>
      </c>
      <c r="I58" s="11" t="str">
        <f aca="false">IF(OR($A58="",COUNTIFS(Answers!$A$4:$A$203,$A58,Answers!$B$4:$B$203,"Last")=0),"",SUMIFS(Answers!$AC$4:$AC$203,Answers!$A$4:$A$203,$A58,Answers!$B$4:$B$203,"Last"))</f>
        <v/>
      </c>
      <c r="J58" s="12" t="str">
        <f aca="false">IF(OR($A58="",COUNTIFS(Answers!$A$4:$A$203,$A58,Answers!$B$4:$B$203,"First")=0),"",SUMIFS(Answers!$AD$4:$AD$203,Answers!$A$4:$A$203,$A58,Answers!$B$4:$B$203,"First"))</f>
        <v/>
      </c>
      <c r="K58" s="12" t="str">
        <f aca="false">IF(OR($A58="",COUNTIFS(Answers!$A$4:$A$203,$A58,Answers!$B$4:$B$203,"Last")=0),"",SUMIFS(Answers!$AD$4:$AD$203,Answers!$A$4:$A$203,$A58,Answers!$B$4:$B$203,"Last"))</f>
        <v/>
      </c>
      <c r="L58" s="12" t="str">
        <f aca="false">IF(OR($A58="",COUNTIFS(Answers!$A$4:$A$203,$A58,Answers!$B$4:$B$203,"First")=0),"",SUMIFS(Answers!$AE$4:$AE$203,Answers!$A$4:$A$203,$A58,Answers!$B$4:$B$203,"First"))</f>
        <v/>
      </c>
      <c r="M58" s="12" t="str">
        <f aca="false">IF(OR($A58="",COUNTIFS(Answers!$A$4:$A$203,$A58,Answers!$B$4:$B$203,"Last")=0),"",SUMIFS(Answers!$AE$4:$AE$203,Answers!$A$4:$A$203,$A58,Answers!$B$4:$B$203,"Last"))</f>
        <v/>
      </c>
      <c r="N58" s="11" t="n">
        <f aca="false">IF(AND(B58&lt;&gt;"",C58&lt;&gt;""),1,0)</f>
        <v>0</v>
      </c>
      <c r="O58" s="11" t="str">
        <f aca="false">IF($A58="","",IF(MAX(COUNTIFS(Answers!$A$4:$A$203,$A58,Answers!$B$4:$B$203,"First"),COUNTIFS(Answers!$A$4:$A$203,$A58,Answers!$B$4:$B$203,"Last"))&gt;1,"Two rows for one session: keep one",IF(B58="","No first session",IF(C58="","No last session",""))))</f>
        <v/>
      </c>
    </row>
    <row r="59" customFormat="false" ht="15" hidden="false" customHeight="false" outlineLevel="0" collapsed="false">
      <c r="A59" s="9"/>
      <c r="B59" s="11" t="str">
        <f aca="false">IF(OR($A59="",COUNTIFS(Answers!$A$4:$A$203,$A59,Answers!$B$4:$B$203,"First")=0),"",SUMIFS(Answers!$AA$4:$AA$203,Answers!$A$4:$A$203,$A59,Answers!$B$4:$B$203,"First"))</f>
        <v/>
      </c>
      <c r="C59" s="11" t="str">
        <f aca="false">IF(OR($A59="",COUNTIFS(Answers!$A$4:$A$203,$A59,Answers!$B$4:$B$203,"Last")=0),"",SUMIFS(Answers!$AA$4:$AA$203,Answers!$A$4:$A$203,$A59,Answers!$B$4:$B$203,"Last"))</f>
        <v/>
      </c>
      <c r="D59" s="11" t="str">
        <f aca="false">IF(N59=1,C59-B59,"")</f>
        <v/>
      </c>
      <c r="E59" s="19" t="str">
        <f aca="false">IF(OR(N59&lt;&gt;1,B59=16),"",(C59-B59)/(16-B59))</f>
        <v/>
      </c>
      <c r="F59" s="11" t="str">
        <f aca="false">IF(OR($A59="",COUNTIFS(Answers!$A$4:$A$203,$A59,Answers!$B$4:$B$203,"First")=0),"",SUMIFS(Answers!$AB$4:$AB$203,Answers!$A$4:$A$203,$A59,Answers!$B$4:$B$203,"First"))</f>
        <v/>
      </c>
      <c r="G59" s="11" t="str">
        <f aca="false">IF(OR($A59="",COUNTIFS(Answers!$A$4:$A$203,$A59,Answers!$B$4:$B$203,"Last")=0),"",SUMIFS(Answers!$AB$4:$AB$203,Answers!$A$4:$A$203,$A59,Answers!$B$4:$B$203,"Last"))</f>
        <v/>
      </c>
      <c r="H59" s="11" t="str">
        <f aca="false">IF(OR($A59="",COUNTIFS(Answers!$A$4:$A$203,$A59,Answers!$B$4:$B$203,"First")=0),"",SUMIFS(Answers!$AC$4:$AC$203,Answers!$A$4:$A$203,$A59,Answers!$B$4:$B$203,"First"))</f>
        <v/>
      </c>
      <c r="I59" s="11" t="str">
        <f aca="false">IF(OR($A59="",COUNTIFS(Answers!$A$4:$A$203,$A59,Answers!$B$4:$B$203,"Last")=0),"",SUMIFS(Answers!$AC$4:$AC$203,Answers!$A$4:$A$203,$A59,Answers!$B$4:$B$203,"Last"))</f>
        <v/>
      </c>
      <c r="J59" s="12" t="str">
        <f aca="false">IF(OR($A59="",COUNTIFS(Answers!$A$4:$A$203,$A59,Answers!$B$4:$B$203,"First")=0),"",SUMIFS(Answers!$AD$4:$AD$203,Answers!$A$4:$A$203,$A59,Answers!$B$4:$B$203,"First"))</f>
        <v/>
      </c>
      <c r="K59" s="12" t="str">
        <f aca="false">IF(OR($A59="",COUNTIFS(Answers!$A$4:$A$203,$A59,Answers!$B$4:$B$203,"Last")=0),"",SUMIFS(Answers!$AD$4:$AD$203,Answers!$A$4:$A$203,$A59,Answers!$B$4:$B$203,"Last"))</f>
        <v/>
      </c>
      <c r="L59" s="12" t="str">
        <f aca="false">IF(OR($A59="",COUNTIFS(Answers!$A$4:$A$203,$A59,Answers!$B$4:$B$203,"First")=0),"",SUMIFS(Answers!$AE$4:$AE$203,Answers!$A$4:$A$203,$A59,Answers!$B$4:$B$203,"First"))</f>
        <v/>
      </c>
      <c r="M59" s="12" t="str">
        <f aca="false">IF(OR($A59="",COUNTIFS(Answers!$A$4:$A$203,$A59,Answers!$B$4:$B$203,"Last")=0),"",SUMIFS(Answers!$AE$4:$AE$203,Answers!$A$4:$A$203,$A59,Answers!$B$4:$B$203,"Last"))</f>
        <v/>
      </c>
      <c r="N59" s="11" t="n">
        <f aca="false">IF(AND(B59&lt;&gt;"",C59&lt;&gt;""),1,0)</f>
        <v>0</v>
      </c>
      <c r="O59" s="11" t="str">
        <f aca="false">IF($A59="","",IF(MAX(COUNTIFS(Answers!$A$4:$A$203,$A59,Answers!$B$4:$B$203,"First"),COUNTIFS(Answers!$A$4:$A$203,$A59,Answers!$B$4:$B$203,"Last"))&gt;1,"Two rows for one session: keep one",IF(B59="","No first session",IF(C59="","No last session",""))))</f>
        <v/>
      </c>
    </row>
    <row r="60" customFormat="false" ht="15" hidden="false" customHeight="false" outlineLevel="0" collapsed="false">
      <c r="A60" s="9"/>
      <c r="B60" s="11" t="str">
        <f aca="false">IF(OR($A60="",COUNTIFS(Answers!$A$4:$A$203,$A60,Answers!$B$4:$B$203,"First")=0),"",SUMIFS(Answers!$AA$4:$AA$203,Answers!$A$4:$A$203,$A60,Answers!$B$4:$B$203,"First"))</f>
        <v/>
      </c>
      <c r="C60" s="11" t="str">
        <f aca="false">IF(OR($A60="",COUNTIFS(Answers!$A$4:$A$203,$A60,Answers!$B$4:$B$203,"Last")=0),"",SUMIFS(Answers!$AA$4:$AA$203,Answers!$A$4:$A$203,$A60,Answers!$B$4:$B$203,"Last"))</f>
        <v/>
      </c>
      <c r="D60" s="11" t="str">
        <f aca="false">IF(N60=1,C60-B60,"")</f>
        <v/>
      </c>
      <c r="E60" s="19" t="str">
        <f aca="false">IF(OR(N60&lt;&gt;1,B60=16),"",(C60-B60)/(16-B60))</f>
        <v/>
      </c>
      <c r="F60" s="11" t="str">
        <f aca="false">IF(OR($A60="",COUNTIFS(Answers!$A$4:$A$203,$A60,Answers!$B$4:$B$203,"First")=0),"",SUMIFS(Answers!$AB$4:$AB$203,Answers!$A$4:$A$203,$A60,Answers!$B$4:$B$203,"First"))</f>
        <v/>
      </c>
      <c r="G60" s="11" t="str">
        <f aca="false">IF(OR($A60="",COUNTIFS(Answers!$A$4:$A$203,$A60,Answers!$B$4:$B$203,"Last")=0),"",SUMIFS(Answers!$AB$4:$AB$203,Answers!$A$4:$A$203,$A60,Answers!$B$4:$B$203,"Last"))</f>
        <v/>
      </c>
      <c r="H60" s="11" t="str">
        <f aca="false">IF(OR($A60="",COUNTIFS(Answers!$A$4:$A$203,$A60,Answers!$B$4:$B$203,"First")=0),"",SUMIFS(Answers!$AC$4:$AC$203,Answers!$A$4:$A$203,$A60,Answers!$B$4:$B$203,"First"))</f>
        <v/>
      </c>
      <c r="I60" s="11" t="str">
        <f aca="false">IF(OR($A60="",COUNTIFS(Answers!$A$4:$A$203,$A60,Answers!$B$4:$B$203,"Last")=0),"",SUMIFS(Answers!$AC$4:$AC$203,Answers!$A$4:$A$203,$A60,Answers!$B$4:$B$203,"Last"))</f>
        <v/>
      </c>
      <c r="J60" s="12" t="str">
        <f aca="false">IF(OR($A60="",COUNTIFS(Answers!$A$4:$A$203,$A60,Answers!$B$4:$B$203,"First")=0),"",SUMIFS(Answers!$AD$4:$AD$203,Answers!$A$4:$A$203,$A60,Answers!$B$4:$B$203,"First"))</f>
        <v/>
      </c>
      <c r="K60" s="12" t="str">
        <f aca="false">IF(OR($A60="",COUNTIFS(Answers!$A$4:$A$203,$A60,Answers!$B$4:$B$203,"Last")=0),"",SUMIFS(Answers!$AD$4:$AD$203,Answers!$A$4:$A$203,$A60,Answers!$B$4:$B$203,"Last"))</f>
        <v/>
      </c>
      <c r="L60" s="12" t="str">
        <f aca="false">IF(OR($A60="",COUNTIFS(Answers!$A$4:$A$203,$A60,Answers!$B$4:$B$203,"First")=0),"",SUMIFS(Answers!$AE$4:$AE$203,Answers!$A$4:$A$203,$A60,Answers!$B$4:$B$203,"First"))</f>
        <v/>
      </c>
      <c r="M60" s="12" t="str">
        <f aca="false">IF(OR($A60="",COUNTIFS(Answers!$A$4:$A$203,$A60,Answers!$B$4:$B$203,"Last")=0),"",SUMIFS(Answers!$AE$4:$AE$203,Answers!$A$4:$A$203,$A60,Answers!$B$4:$B$203,"Last"))</f>
        <v/>
      </c>
      <c r="N60" s="11" t="n">
        <f aca="false">IF(AND(B60&lt;&gt;"",C60&lt;&gt;""),1,0)</f>
        <v>0</v>
      </c>
      <c r="O60" s="11" t="str">
        <f aca="false">IF($A60="","",IF(MAX(COUNTIFS(Answers!$A$4:$A$203,$A60,Answers!$B$4:$B$203,"First"),COUNTIFS(Answers!$A$4:$A$203,$A60,Answers!$B$4:$B$203,"Last"))&gt;1,"Two rows for one session: keep one",IF(B60="","No first session",IF(C60="","No last session",""))))</f>
        <v/>
      </c>
    </row>
    <row r="61" customFormat="false" ht="15" hidden="false" customHeight="false" outlineLevel="0" collapsed="false">
      <c r="A61" s="9"/>
      <c r="B61" s="11" t="str">
        <f aca="false">IF(OR($A61="",COUNTIFS(Answers!$A$4:$A$203,$A61,Answers!$B$4:$B$203,"First")=0),"",SUMIFS(Answers!$AA$4:$AA$203,Answers!$A$4:$A$203,$A61,Answers!$B$4:$B$203,"First"))</f>
        <v/>
      </c>
      <c r="C61" s="11" t="str">
        <f aca="false">IF(OR($A61="",COUNTIFS(Answers!$A$4:$A$203,$A61,Answers!$B$4:$B$203,"Last")=0),"",SUMIFS(Answers!$AA$4:$AA$203,Answers!$A$4:$A$203,$A61,Answers!$B$4:$B$203,"Last"))</f>
        <v/>
      </c>
      <c r="D61" s="11" t="str">
        <f aca="false">IF(N61=1,C61-B61,"")</f>
        <v/>
      </c>
      <c r="E61" s="19" t="str">
        <f aca="false">IF(OR(N61&lt;&gt;1,B61=16),"",(C61-B61)/(16-B61))</f>
        <v/>
      </c>
      <c r="F61" s="11" t="str">
        <f aca="false">IF(OR($A61="",COUNTIFS(Answers!$A$4:$A$203,$A61,Answers!$B$4:$B$203,"First")=0),"",SUMIFS(Answers!$AB$4:$AB$203,Answers!$A$4:$A$203,$A61,Answers!$B$4:$B$203,"First"))</f>
        <v/>
      </c>
      <c r="G61" s="11" t="str">
        <f aca="false">IF(OR($A61="",COUNTIFS(Answers!$A$4:$A$203,$A61,Answers!$B$4:$B$203,"Last")=0),"",SUMIFS(Answers!$AB$4:$AB$203,Answers!$A$4:$A$203,$A61,Answers!$B$4:$B$203,"Last"))</f>
        <v/>
      </c>
      <c r="H61" s="11" t="str">
        <f aca="false">IF(OR($A61="",COUNTIFS(Answers!$A$4:$A$203,$A61,Answers!$B$4:$B$203,"First")=0),"",SUMIFS(Answers!$AC$4:$AC$203,Answers!$A$4:$A$203,$A61,Answers!$B$4:$B$203,"First"))</f>
        <v/>
      </c>
      <c r="I61" s="11" t="str">
        <f aca="false">IF(OR($A61="",COUNTIFS(Answers!$A$4:$A$203,$A61,Answers!$B$4:$B$203,"Last")=0),"",SUMIFS(Answers!$AC$4:$AC$203,Answers!$A$4:$A$203,$A61,Answers!$B$4:$B$203,"Last"))</f>
        <v/>
      </c>
      <c r="J61" s="12" t="str">
        <f aca="false">IF(OR($A61="",COUNTIFS(Answers!$A$4:$A$203,$A61,Answers!$B$4:$B$203,"First")=0),"",SUMIFS(Answers!$AD$4:$AD$203,Answers!$A$4:$A$203,$A61,Answers!$B$4:$B$203,"First"))</f>
        <v/>
      </c>
      <c r="K61" s="12" t="str">
        <f aca="false">IF(OR($A61="",COUNTIFS(Answers!$A$4:$A$203,$A61,Answers!$B$4:$B$203,"Last")=0),"",SUMIFS(Answers!$AD$4:$AD$203,Answers!$A$4:$A$203,$A61,Answers!$B$4:$B$203,"Last"))</f>
        <v/>
      </c>
      <c r="L61" s="12" t="str">
        <f aca="false">IF(OR($A61="",COUNTIFS(Answers!$A$4:$A$203,$A61,Answers!$B$4:$B$203,"First")=0),"",SUMIFS(Answers!$AE$4:$AE$203,Answers!$A$4:$A$203,$A61,Answers!$B$4:$B$203,"First"))</f>
        <v/>
      </c>
      <c r="M61" s="12" t="str">
        <f aca="false">IF(OR($A61="",COUNTIFS(Answers!$A$4:$A$203,$A61,Answers!$B$4:$B$203,"Last")=0),"",SUMIFS(Answers!$AE$4:$AE$203,Answers!$A$4:$A$203,$A61,Answers!$B$4:$B$203,"Last"))</f>
        <v/>
      </c>
      <c r="N61" s="11" t="n">
        <f aca="false">IF(AND(B61&lt;&gt;"",C61&lt;&gt;""),1,0)</f>
        <v>0</v>
      </c>
      <c r="O61" s="11" t="str">
        <f aca="false">IF($A61="","",IF(MAX(COUNTIFS(Answers!$A$4:$A$203,$A61,Answers!$B$4:$B$203,"First"),COUNTIFS(Answers!$A$4:$A$203,$A61,Answers!$B$4:$B$203,"Last"))&gt;1,"Two rows for one session: keep one",IF(B61="","No first session",IF(C61="","No last session",""))))</f>
        <v/>
      </c>
    </row>
    <row r="62" customFormat="false" ht="15" hidden="false" customHeight="false" outlineLevel="0" collapsed="false">
      <c r="A62" s="9"/>
      <c r="B62" s="11" t="str">
        <f aca="false">IF(OR($A62="",COUNTIFS(Answers!$A$4:$A$203,$A62,Answers!$B$4:$B$203,"First")=0),"",SUMIFS(Answers!$AA$4:$AA$203,Answers!$A$4:$A$203,$A62,Answers!$B$4:$B$203,"First"))</f>
        <v/>
      </c>
      <c r="C62" s="11" t="str">
        <f aca="false">IF(OR($A62="",COUNTIFS(Answers!$A$4:$A$203,$A62,Answers!$B$4:$B$203,"Last")=0),"",SUMIFS(Answers!$AA$4:$AA$203,Answers!$A$4:$A$203,$A62,Answers!$B$4:$B$203,"Last"))</f>
        <v/>
      </c>
      <c r="D62" s="11" t="str">
        <f aca="false">IF(N62=1,C62-B62,"")</f>
        <v/>
      </c>
      <c r="E62" s="19" t="str">
        <f aca="false">IF(OR(N62&lt;&gt;1,B62=16),"",(C62-B62)/(16-B62))</f>
        <v/>
      </c>
      <c r="F62" s="11" t="str">
        <f aca="false">IF(OR($A62="",COUNTIFS(Answers!$A$4:$A$203,$A62,Answers!$B$4:$B$203,"First")=0),"",SUMIFS(Answers!$AB$4:$AB$203,Answers!$A$4:$A$203,$A62,Answers!$B$4:$B$203,"First"))</f>
        <v/>
      </c>
      <c r="G62" s="11" t="str">
        <f aca="false">IF(OR($A62="",COUNTIFS(Answers!$A$4:$A$203,$A62,Answers!$B$4:$B$203,"Last")=0),"",SUMIFS(Answers!$AB$4:$AB$203,Answers!$A$4:$A$203,$A62,Answers!$B$4:$B$203,"Last"))</f>
        <v/>
      </c>
      <c r="H62" s="11" t="str">
        <f aca="false">IF(OR($A62="",COUNTIFS(Answers!$A$4:$A$203,$A62,Answers!$B$4:$B$203,"First")=0),"",SUMIFS(Answers!$AC$4:$AC$203,Answers!$A$4:$A$203,$A62,Answers!$B$4:$B$203,"First"))</f>
        <v/>
      </c>
      <c r="I62" s="11" t="str">
        <f aca="false">IF(OR($A62="",COUNTIFS(Answers!$A$4:$A$203,$A62,Answers!$B$4:$B$203,"Last")=0),"",SUMIFS(Answers!$AC$4:$AC$203,Answers!$A$4:$A$203,$A62,Answers!$B$4:$B$203,"Last"))</f>
        <v/>
      </c>
      <c r="J62" s="12" t="str">
        <f aca="false">IF(OR($A62="",COUNTIFS(Answers!$A$4:$A$203,$A62,Answers!$B$4:$B$203,"First")=0),"",SUMIFS(Answers!$AD$4:$AD$203,Answers!$A$4:$A$203,$A62,Answers!$B$4:$B$203,"First"))</f>
        <v/>
      </c>
      <c r="K62" s="12" t="str">
        <f aca="false">IF(OR($A62="",COUNTIFS(Answers!$A$4:$A$203,$A62,Answers!$B$4:$B$203,"Last")=0),"",SUMIFS(Answers!$AD$4:$AD$203,Answers!$A$4:$A$203,$A62,Answers!$B$4:$B$203,"Last"))</f>
        <v/>
      </c>
      <c r="L62" s="12" t="str">
        <f aca="false">IF(OR($A62="",COUNTIFS(Answers!$A$4:$A$203,$A62,Answers!$B$4:$B$203,"First")=0),"",SUMIFS(Answers!$AE$4:$AE$203,Answers!$A$4:$A$203,$A62,Answers!$B$4:$B$203,"First"))</f>
        <v/>
      </c>
      <c r="M62" s="12" t="str">
        <f aca="false">IF(OR($A62="",COUNTIFS(Answers!$A$4:$A$203,$A62,Answers!$B$4:$B$203,"Last")=0),"",SUMIFS(Answers!$AE$4:$AE$203,Answers!$A$4:$A$203,$A62,Answers!$B$4:$B$203,"Last"))</f>
        <v/>
      </c>
      <c r="N62" s="11" t="n">
        <f aca="false">IF(AND(B62&lt;&gt;"",C62&lt;&gt;""),1,0)</f>
        <v>0</v>
      </c>
      <c r="O62" s="11" t="str">
        <f aca="false">IF($A62="","",IF(MAX(COUNTIFS(Answers!$A$4:$A$203,$A62,Answers!$B$4:$B$203,"First"),COUNTIFS(Answers!$A$4:$A$203,$A62,Answers!$B$4:$B$203,"Last"))&gt;1,"Two rows for one session: keep one",IF(B62="","No first session",IF(C62="","No last session",""))))</f>
        <v/>
      </c>
    </row>
    <row r="63" customFormat="false" ht="15" hidden="false" customHeight="false" outlineLevel="0" collapsed="false">
      <c r="A63" s="9"/>
      <c r="B63" s="11" t="str">
        <f aca="false">IF(OR($A63="",COUNTIFS(Answers!$A$4:$A$203,$A63,Answers!$B$4:$B$203,"First")=0),"",SUMIFS(Answers!$AA$4:$AA$203,Answers!$A$4:$A$203,$A63,Answers!$B$4:$B$203,"First"))</f>
        <v/>
      </c>
      <c r="C63" s="11" t="str">
        <f aca="false">IF(OR($A63="",COUNTIFS(Answers!$A$4:$A$203,$A63,Answers!$B$4:$B$203,"Last")=0),"",SUMIFS(Answers!$AA$4:$AA$203,Answers!$A$4:$A$203,$A63,Answers!$B$4:$B$203,"Last"))</f>
        <v/>
      </c>
      <c r="D63" s="11" t="str">
        <f aca="false">IF(N63=1,C63-B63,"")</f>
        <v/>
      </c>
      <c r="E63" s="19" t="str">
        <f aca="false">IF(OR(N63&lt;&gt;1,B63=16),"",(C63-B63)/(16-B63))</f>
        <v/>
      </c>
      <c r="F63" s="11" t="str">
        <f aca="false">IF(OR($A63="",COUNTIFS(Answers!$A$4:$A$203,$A63,Answers!$B$4:$B$203,"First")=0),"",SUMIFS(Answers!$AB$4:$AB$203,Answers!$A$4:$A$203,$A63,Answers!$B$4:$B$203,"First"))</f>
        <v/>
      </c>
      <c r="G63" s="11" t="str">
        <f aca="false">IF(OR($A63="",COUNTIFS(Answers!$A$4:$A$203,$A63,Answers!$B$4:$B$203,"Last")=0),"",SUMIFS(Answers!$AB$4:$AB$203,Answers!$A$4:$A$203,$A63,Answers!$B$4:$B$203,"Last"))</f>
        <v/>
      </c>
      <c r="H63" s="11" t="str">
        <f aca="false">IF(OR($A63="",COUNTIFS(Answers!$A$4:$A$203,$A63,Answers!$B$4:$B$203,"First")=0),"",SUMIFS(Answers!$AC$4:$AC$203,Answers!$A$4:$A$203,$A63,Answers!$B$4:$B$203,"First"))</f>
        <v/>
      </c>
      <c r="I63" s="11" t="str">
        <f aca="false">IF(OR($A63="",COUNTIFS(Answers!$A$4:$A$203,$A63,Answers!$B$4:$B$203,"Last")=0),"",SUMIFS(Answers!$AC$4:$AC$203,Answers!$A$4:$A$203,$A63,Answers!$B$4:$B$203,"Last"))</f>
        <v/>
      </c>
      <c r="J63" s="12" t="str">
        <f aca="false">IF(OR($A63="",COUNTIFS(Answers!$A$4:$A$203,$A63,Answers!$B$4:$B$203,"First")=0),"",SUMIFS(Answers!$AD$4:$AD$203,Answers!$A$4:$A$203,$A63,Answers!$B$4:$B$203,"First"))</f>
        <v/>
      </c>
      <c r="K63" s="12" t="str">
        <f aca="false">IF(OR($A63="",COUNTIFS(Answers!$A$4:$A$203,$A63,Answers!$B$4:$B$203,"Last")=0),"",SUMIFS(Answers!$AD$4:$AD$203,Answers!$A$4:$A$203,$A63,Answers!$B$4:$B$203,"Last"))</f>
        <v/>
      </c>
      <c r="L63" s="12" t="str">
        <f aca="false">IF(OR($A63="",COUNTIFS(Answers!$A$4:$A$203,$A63,Answers!$B$4:$B$203,"First")=0),"",SUMIFS(Answers!$AE$4:$AE$203,Answers!$A$4:$A$203,$A63,Answers!$B$4:$B$203,"First"))</f>
        <v/>
      </c>
      <c r="M63" s="12" t="str">
        <f aca="false">IF(OR($A63="",COUNTIFS(Answers!$A$4:$A$203,$A63,Answers!$B$4:$B$203,"Last")=0),"",SUMIFS(Answers!$AE$4:$AE$203,Answers!$A$4:$A$203,$A63,Answers!$B$4:$B$203,"Last"))</f>
        <v/>
      </c>
      <c r="N63" s="11" t="n">
        <f aca="false">IF(AND(B63&lt;&gt;"",C63&lt;&gt;""),1,0)</f>
        <v>0</v>
      </c>
      <c r="O63" s="11" t="str">
        <f aca="false">IF($A63="","",IF(MAX(COUNTIFS(Answers!$A$4:$A$203,$A63,Answers!$B$4:$B$203,"First"),COUNTIFS(Answers!$A$4:$A$203,$A63,Answers!$B$4:$B$203,"Last"))&gt;1,"Two rows for one session: keep one",IF(B63="","No first session",IF(C63="","No last session",""))))</f>
        <v/>
      </c>
    </row>
    <row r="64" customFormat="false" ht="15" hidden="false" customHeight="false" outlineLevel="0" collapsed="false">
      <c r="A64" s="9"/>
      <c r="B64" s="11" t="str">
        <f aca="false">IF(OR($A64="",COUNTIFS(Answers!$A$4:$A$203,$A64,Answers!$B$4:$B$203,"First")=0),"",SUMIFS(Answers!$AA$4:$AA$203,Answers!$A$4:$A$203,$A64,Answers!$B$4:$B$203,"First"))</f>
        <v/>
      </c>
      <c r="C64" s="11" t="str">
        <f aca="false">IF(OR($A64="",COUNTIFS(Answers!$A$4:$A$203,$A64,Answers!$B$4:$B$203,"Last")=0),"",SUMIFS(Answers!$AA$4:$AA$203,Answers!$A$4:$A$203,$A64,Answers!$B$4:$B$203,"Last"))</f>
        <v/>
      </c>
      <c r="D64" s="11" t="str">
        <f aca="false">IF(N64=1,C64-B64,"")</f>
        <v/>
      </c>
      <c r="E64" s="19" t="str">
        <f aca="false">IF(OR(N64&lt;&gt;1,B64=16),"",(C64-B64)/(16-B64))</f>
        <v/>
      </c>
      <c r="F64" s="11" t="str">
        <f aca="false">IF(OR($A64="",COUNTIFS(Answers!$A$4:$A$203,$A64,Answers!$B$4:$B$203,"First")=0),"",SUMIFS(Answers!$AB$4:$AB$203,Answers!$A$4:$A$203,$A64,Answers!$B$4:$B$203,"First"))</f>
        <v/>
      </c>
      <c r="G64" s="11" t="str">
        <f aca="false">IF(OR($A64="",COUNTIFS(Answers!$A$4:$A$203,$A64,Answers!$B$4:$B$203,"Last")=0),"",SUMIFS(Answers!$AB$4:$AB$203,Answers!$A$4:$A$203,$A64,Answers!$B$4:$B$203,"Last"))</f>
        <v/>
      </c>
      <c r="H64" s="11" t="str">
        <f aca="false">IF(OR($A64="",COUNTIFS(Answers!$A$4:$A$203,$A64,Answers!$B$4:$B$203,"First")=0),"",SUMIFS(Answers!$AC$4:$AC$203,Answers!$A$4:$A$203,$A64,Answers!$B$4:$B$203,"First"))</f>
        <v/>
      </c>
      <c r="I64" s="11" t="str">
        <f aca="false">IF(OR($A64="",COUNTIFS(Answers!$A$4:$A$203,$A64,Answers!$B$4:$B$203,"Last")=0),"",SUMIFS(Answers!$AC$4:$AC$203,Answers!$A$4:$A$203,$A64,Answers!$B$4:$B$203,"Last"))</f>
        <v/>
      </c>
      <c r="J64" s="12" t="str">
        <f aca="false">IF(OR($A64="",COUNTIFS(Answers!$A$4:$A$203,$A64,Answers!$B$4:$B$203,"First")=0),"",SUMIFS(Answers!$AD$4:$AD$203,Answers!$A$4:$A$203,$A64,Answers!$B$4:$B$203,"First"))</f>
        <v/>
      </c>
      <c r="K64" s="12" t="str">
        <f aca="false">IF(OR($A64="",COUNTIFS(Answers!$A$4:$A$203,$A64,Answers!$B$4:$B$203,"Last")=0),"",SUMIFS(Answers!$AD$4:$AD$203,Answers!$A$4:$A$203,$A64,Answers!$B$4:$B$203,"Last"))</f>
        <v/>
      </c>
      <c r="L64" s="12" t="str">
        <f aca="false">IF(OR($A64="",COUNTIFS(Answers!$A$4:$A$203,$A64,Answers!$B$4:$B$203,"First")=0),"",SUMIFS(Answers!$AE$4:$AE$203,Answers!$A$4:$A$203,$A64,Answers!$B$4:$B$203,"First"))</f>
        <v/>
      </c>
      <c r="M64" s="12" t="str">
        <f aca="false">IF(OR($A64="",COUNTIFS(Answers!$A$4:$A$203,$A64,Answers!$B$4:$B$203,"Last")=0),"",SUMIFS(Answers!$AE$4:$AE$203,Answers!$A$4:$A$203,$A64,Answers!$B$4:$B$203,"Last"))</f>
        <v/>
      </c>
      <c r="N64" s="11" t="n">
        <f aca="false">IF(AND(B64&lt;&gt;"",C64&lt;&gt;""),1,0)</f>
        <v>0</v>
      </c>
      <c r="O64" s="11" t="str">
        <f aca="false">IF($A64="","",IF(MAX(COUNTIFS(Answers!$A$4:$A$203,$A64,Answers!$B$4:$B$203,"First"),COUNTIFS(Answers!$A$4:$A$203,$A64,Answers!$B$4:$B$203,"Last"))&gt;1,"Two rows for one session: keep one",IF(B64="","No first session",IF(C64="","No last session",""))))</f>
        <v/>
      </c>
    </row>
    <row r="65" customFormat="false" ht="15" hidden="false" customHeight="false" outlineLevel="0" collapsed="false">
      <c r="A65" s="9"/>
      <c r="B65" s="11" t="str">
        <f aca="false">IF(OR($A65="",COUNTIFS(Answers!$A$4:$A$203,$A65,Answers!$B$4:$B$203,"First")=0),"",SUMIFS(Answers!$AA$4:$AA$203,Answers!$A$4:$A$203,$A65,Answers!$B$4:$B$203,"First"))</f>
        <v/>
      </c>
      <c r="C65" s="11" t="str">
        <f aca="false">IF(OR($A65="",COUNTIFS(Answers!$A$4:$A$203,$A65,Answers!$B$4:$B$203,"Last")=0),"",SUMIFS(Answers!$AA$4:$AA$203,Answers!$A$4:$A$203,$A65,Answers!$B$4:$B$203,"Last"))</f>
        <v/>
      </c>
      <c r="D65" s="11" t="str">
        <f aca="false">IF(N65=1,C65-B65,"")</f>
        <v/>
      </c>
      <c r="E65" s="19" t="str">
        <f aca="false">IF(OR(N65&lt;&gt;1,B65=16),"",(C65-B65)/(16-B65))</f>
        <v/>
      </c>
      <c r="F65" s="11" t="str">
        <f aca="false">IF(OR($A65="",COUNTIFS(Answers!$A$4:$A$203,$A65,Answers!$B$4:$B$203,"First")=0),"",SUMIFS(Answers!$AB$4:$AB$203,Answers!$A$4:$A$203,$A65,Answers!$B$4:$B$203,"First"))</f>
        <v/>
      </c>
      <c r="G65" s="11" t="str">
        <f aca="false">IF(OR($A65="",COUNTIFS(Answers!$A$4:$A$203,$A65,Answers!$B$4:$B$203,"Last")=0),"",SUMIFS(Answers!$AB$4:$AB$203,Answers!$A$4:$A$203,$A65,Answers!$B$4:$B$203,"Last"))</f>
        <v/>
      </c>
      <c r="H65" s="11" t="str">
        <f aca="false">IF(OR($A65="",COUNTIFS(Answers!$A$4:$A$203,$A65,Answers!$B$4:$B$203,"First")=0),"",SUMIFS(Answers!$AC$4:$AC$203,Answers!$A$4:$A$203,$A65,Answers!$B$4:$B$203,"First"))</f>
        <v/>
      </c>
      <c r="I65" s="11" t="str">
        <f aca="false">IF(OR($A65="",COUNTIFS(Answers!$A$4:$A$203,$A65,Answers!$B$4:$B$203,"Last")=0),"",SUMIFS(Answers!$AC$4:$AC$203,Answers!$A$4:$A$203,$A65,Answers!$B$4:$B$203,"Last"))</f>
        <v/>
      </c>
      <c r="J65" s="12" t="str">
        <f aca="false">IF(OR($A65="",COUNTIFS(Answers!$A$4:$A$203,$A65,Answers!$B$4:$B$203,"First")=0),"",SUMIFS(Answers!$AD$4:$AD$203,Answers!$A$4:$A$203,$A65,Answers!$B$4:$B$203,"First"))</f>
        <v/>
      </c>
      <c r="K65" s="12" t="str">
        <f aca="false">IF(OR($A65="",COUNTIFS(Answers!$A$4:$A$203,$A65,Answers!$B$4:$B$203,"Last")=0),"",SUMIFS(Answers!$AD$4:$AD$203,Answers!$A$4:$A$203,$A65,Answers!$B$4:$B$203,"Last"))</f>
        <v/>
      </c>
      <c r="L65" s="12" t="str">
        <f aca="false">IF(OR($A65="",COUNTIFS(Answers!$A$4:$A$203,$A65,Answers!$B$4:$B$203,"First")=0),"",SUMIFS(Answers!$AE$4:$AE$203,Answers!$A$4:$A$203,$A65,Answers!$B$4:$B$203,"First"))</f>
        <v/>
      </c>
      <c r="M65" s="12" t="str">
        <f aca="false">IF(OR($A65="",COUNTIFS(Answers!$A$4:$A$203,$A65,Answers!$B$4:$B$203,"Last")=0),"",SUMIFS(Answers!$AE$4:$AE$203,Answers!$A$4:$A$203,$A65,Answers!$B$4:$B$203,"Last"))</f>
        <v/>
      </c>
      <c r="N65" s="11" t="n">
        <f aca="false">IF(AND(B65&lt;&gt;"",C65&lt;&gt;""),1,0)</f>
        <v>0</v>
      </c>
      <c r="O65" s="11" t="str">
        <f aca="false">IF($A65="","",IF(MAX(COUNTIFS(Answers!$A$4:$A$203,$A65,Answers!$B$4:$B$203,"First"),COUNTIFS(Answers!$A$4:$A$203,$A65,Answers!$B$4:$B$203,"Last"))&gt;1,"Two rows for one session: keep one",IF(B65="","No first session",IF(C65="","No last session",""))))</f>
        <v/>
      </c>
    </row>
    <row r="66" customFormat="false" ht="15" hidden="false" customHeight="false" outlineLevel="0" collapsed="false">
      <c r="A66" s="9"/>
      <c r="B66" s="11" t="str">
        <f aca="false">IF(OR($A66="",COUNTIFS(Answers!$A$4:$A$203,$A66,Answers!$B$4:$B$203,"First")=0),"",SUMIFS(Answers!$AA$4:$AA$203,Answers!$A$4:$A$203,$A66,Answers!$B$4:$B$203,"First"))</f>
        <v/>
      </c>
      <c r="C66" s="11" t="str">
        <f aca="false">IF(OR($A66="",COUNTIFS(Answers!$A$4:$A$203,$A66,Answers!$B$4:$B$203,"Last")=0),"",SUMIFS(Answers!$AA$4:$AA$203,Answers!$A$4:$A$203,$A66,Answers!$B$4:$B$203,"Last"))</f>
        <v/>
      </c>
      <c r="D66" s="11" t="str">
        <f aca="false">IF(N66=1,C66-B66,"")</f>
        <v/>
      </c>
      <c r="E66" s="19" t="str">
        <f aca="false">IF(OR(N66&lt;&gt;1,B66=16),"",(C66-B66)/(16-B66))</f>
        <v/>
      </c>
      <c r="F66" s="11" t="str">
        <f aca="false">IF(OR($A66="",COUNTIFS(Answers!$A$4:$A$203,$A66,Answers!$B$4:$B$203,"First")=0),"",SUMIFS(Answers!$AB$4:$AB$203,Answers!$A$4:$A$203,$A66,Answers!$B$4:$B$203,"First"))</f>
        <v/>
      </c>
      <c r="G66" s="11" t="str">
        <f aca="false">IF(OR($A66="",COUNTIFS(Answers!$A$4:$A$203,$A66,Answers!$B$4:$B$203,"Last")=0),"",SUMIFS(Answers!$AB$4:$AB$203,Answers!$A$4:$A$203,$A66,Answers!$B$4:$B$203,"Last"))</f>
        <v/>
      </c>
      <c r="H66" s="11" t="str">
        <f aca="false">IF(OR($A66="",COUNTIFS(Answers!$A$4:$A$203,$A66,Answers!$B$4:$B$203,"First")=0),"",SUMIFS(Answers!$AC$4:$AC$203,Answers!$A$4:$A$203,$A66,Answers!$B$4:$B$203,"First"))</f>
        <v/>
      </c>
      <c r="I66" s="11" t="str">
        <f aca="false">IF(OR($A66="",COUNTIFS(Answers!$A$4:$A$203,$A66,Answers!$B$4:$B$203,"Last")=0),"",SUMIFS(Answers!$AC$4:$AC$203,Answers!$A$4:$A$203,$A66,Answers!$B$4:$B$203,"Last"))</f>
        <v/>
      </c>
      <c r="J66" s="12" t="str">
        <f aca="false">IF(OR($A66="",COUNTIFS(Answers!$A$4:$A$203,$A66,Answers!$B$4:$B$203,"First")=0),"",SUMIFS(Answers!$AD$4:$AD$203,Answers!$A$4:$A$203,$A66,Answers!$B$4:$B$203,"First"))</f>
        <v/>
      </c>
      <c r="K66" s="12" t="str">
        <f aca="false">IF(OR($A66="",COUNTIFS(Answers!$A$4:$A$203,$A66,Answers!$B$4:$B$203,"Last")=0),"",SUMIFS(Answers!$AD$4:$AD$203,Answers!$A$4:$A$203,$A66,Answers!$B$4:$B$203,"Last"))</f>
        <v/>
      </c>
      <c r="L66" s="12" t="str">
        <f aca="false">IF(OR($A66="",COUNTIFS(Answers!$A$4:$A$203,$A66,Answers!$B$4:$B$203,"First")=0),"",SUMIFS(Answers!$AE$4:$AE$203,Answers!$A$4:$A$203,$A66,Answers!$B$4:$B$203,"First"))</f>
        <v/>
      </c>
      <c r="M66" s="12" t="str">
        <f aca="false">IF(OR($A66="",COUNTIFS(Answers!$A$4:$A$203,$A66,Answers!$B$4:$B$203,"Last")=0),"",SUMIFS(Answers!$AE$4:$AE$203,Answers!$A$4:$A$203,$A66,Answers!$B$4:$B$203,"Last"))</f>
        <v/>
      </c>
      <c r="N66" s="11" t="n">
        <f aca="false">IF(AND(B66&lt;&gt;"",C66&lt;&gt;""),1,0)</f>
        <v>0</v>
      </c>
      <c r="O66" s="11" t="str">
        <f aca="false">IF($A66="","",IF(MAX(COUNTIFS(Answers!$A$4:$A$203,$A66,Answers!$B$4:$B$203,"First"),COUNTIFS(Answers!$A$4:$A$203,$A66,Answers!$B$4:$B$203,"Last"))&gt;1,"Two rows for one session: keep one",IF(B66="","No first session",IF(C66="","No last session",""))))</f>
        <v/>
      </c>
    </row>
    <row r="67" customFormat="false" ht="15" hidden="false" customHeight="false" outlineLevel="0" collapsed="false">
      <c r="A67" s="9"/>
      <c r="B67" s="11" t="str">
        <f aca="false">IF(OR($A67="",COUNTIFS(Answers!$A$4:$A$203,$A67,Answers!$B$4:$B$203,"First")=0),"",SUMIFS(Answers!$AA$4:$AA$203,Answers!$A$4:$A$203,$A67,Answers!$B$4:$B$203,"First"))</f>
        <v/>
      </c>
      <c r="C67" s="11" t="str">
        <f aca="false">IF(OR($A67="",COUNTIFS(Answers!$A$4:$A$203,$A67,Answers!$B$4:$B$203,"Last")=0),"",SUMIFS(Answers!$AA$4:$AA$203,Answers!$A$4:$A$203,$A67,Answers!$B$4:$B$203,"Last"))</f>
        <v/>
      </c>
      <c r="D67" s="11" t="str">
        <f aca="false">IF(N67=1,C67-B67,"")</f>
        <v/>
      </c>
      <c r="E67" s="19" t="str">
        <f aca="false">IF(OR(N67&lt;&gt;1,B67=16),"",(C67-B67)/(16-B67))</f>
        <v/>
      </c>
      <c r="F67" s="11" t="str">
        <f aca="false">IF(OR($A67="",COUNTIFS(Answers!$A$4:$A$203,$A67,Answers!$B$4:$B$203,"First")=0),"",SUMIFS(Answers!$AB$4:$AB$203,Answers!$A$4:$A$203,$A67,Answers!$B$4:$B$203,"First"))</f>
        <v/>
      </c>
      <c r="G67" s="11" t="str">
        <f aca="false">IF(OR($A67="",COUNTIFS(Answers!$A$4:$A$203,$A67,Answers!$B$4:$B$203,"Last")=0),"",SUMIFS(Answers!$AB$4:$AB$203,Answers!$A$4:$A$203,$A67,Answers!$B$4:$B$203,"Last"))</f>
        <v/>
      </c>
      <c r="H67" s="11" t="str">
        <f aca="false">IF(OR($A67="",COUNTIFS(Answers!$A$4:$A$203,$A67,Answers!$B$4:$B$203,"First")=0),"",SUMIFS(Answers!$AC$4:$AC$203,Answers!$A$4:$A$203,$A67,Answers!$B$4:$B$203,"First"))</f>
        <v/>
      </c>
      <c r="I67" s="11" t="str">
        <f aca="false">IF(OR($A67="",COUNTIFS(Answers!$A$4:$A$203,$A67,Answers!$B$4:$B$203,"Last")=0),"",SUMIFS(Answers!$AC$4:$AC$203,Answers!$A$4:$A$203,$A67,Answers!$B$4:$B$203,"Last"))</f>
        <v/>
      </c>
      <c r="J67" s="12" t="str">
        <f aca="false">IF(OR($A67="",COUNTIFS(Answers!$A$4:$A$203,$A67,Answers!$B$4:$B$203,"First")=0),"",SUMIFS(Answers!$AD$4:$AD$203,Answers!$A$4:$A$203,$A67,Answers!$B$4:$B$203,"First"))</f>
        <v/>
      </c>
      <c r="K67" s="12" t="str">
        <f aca="false">IF(OR($A67="",COUNTIFS(Answers!$A$4:$A$203,$A67,Answers!$B$4:$B$203,"Last")=0),"",SUMIFS(Answers!$AD$4:$AD$203,Answers!$A$4:$A$203,$A67,Answers!$B$4:$B$203,"Last"))</f>
        <v/>
      </c>
      <c r="L67" s="12" t="str">
        <f aca="false">IF(OR($A67="",COUNTIFS(Answers!$A$4:$A$203,$A67,Answers!$B$4:$B$203,"First")=0),"",SUMIFS(Answers!$AE$4:$AE$203,Answers!$A$4:$A$203,$A67,Answers!$B$4:$B$203,"First"))</f>
        <v/>
      </c>
      <c r="M67" s="12" t="str">
        <f aca="false">IF(OR($A67="",COUNTIFS(Answers!$A$4:$A$203,$A67,Answers!$B$4:$B$203,"Last")=0),"",SUMIFS(Answers!$AE$4:$AE$203,Answers!$A$4:$A$203,$A67,Answers!$B$4:$B$203,"Last"))</f>
        <v/>
      </c>
      <c r="N67" s="11" t="n">
        <f aca="false">IF(AND(B67&lt;&gt;"",C67&lt;&gt;""),1,0)</f>
        <v>0</v>
      </c>
      <c r="O67" s="11" t="str">
        <f aca="false">IF($A67="","",IF(MAX(COUNTIFS(Answers!$A$4:$A$203,$A67,Answers!$B$4:$B$203,"First"),COUNTIFS(Answers!$A$4:$A$203,$A67,Answers!$B$4:$B$203,"Last"))&gt;1,"Two rows for one session: keep one",IF(B67="","No first session",IF(C67="","No last session",""))))</f>
        <v/>
      </c>
    </row>
    <row r="68" customFormat="false" ht="15" hidden="false" customHeight="false" outlineLevel="0" collapsed="false">
      <c r="A68" s="9"/>
      <c r="B68" s="11" t="str">
        <f aca="false">IF(OR($A68="",COUNTIFS(Answers!$A$4:$A$203,$A68,Answers!$B$4:$B$203,"First")=0),"",SUMIFS(Answers!$AA$4:$AA$203,Answers!$A$4:$A$203,$A68,Answers!$B$4:$B$203,"First"))</f>
        <v/>
      </c>
      <c r="C68" s="11" t="str">
        <f aca="false">IF(OR($A68="",COUNTIFS(Answers!$A$4:$A$203,$A68,Answers!$B$4:$B$203,"Last")=0),"",SUMIFS(Answers!$AA$4:$AA$203,Answers!$A$4:$A$203,$A68,Answers!$B$4:$B$203,"Last"))</f>
        <v/>
      </c>
      <c r="D68" s="11" t="str">
        <f aca="false">IF(N68=1,C68-B68,"")</f>
        <v/>
      </c>
      <c r="E68" s="19" t="str">
        <f aca="false">IF(OR(N68&lt;&gt;1,B68=16),"",(C68-B68)/(16-B68))</f>
        <v/>
      </c>
      <c r="F68" s="11" t="str">
        <f aca="false">IF(OR($A68="",COUNTIFS(Answers!$A$4:$A$203,$A68,Answers!$B$4:$B$203,"First")=0),"",SUMIFS(Answers!$AB$4:$AB$203,Answers!$A$4:$A$203,$A68,Answers!$B$4:$B$203,"First"))</f>
        <v/>
      </c>
      <c r="G68" s="11" t="str">
        <f aca="false">IF(OR($A68="",COUNTIFS(Answers!$A$4:$A$203,$A68,Answers!$B$4:$B$203,"Last")=0),"",SUMIFS(Answers!$AB$4:$AB$203,Answers!$A$4:$A$203,$A68,Answers!$B$4:$B$203,"Last"))</f>
        <v/>
      </c>
      <c r="H68" s="11" t="str">
        <f aca="false">IF(OR($A68="",COUNTIFS(Answers!$A$4:$A$203,$A68,Answers!$B$4:$B$203,"First")=0),"",SUMIFS(Answers!$AC$4:$AC$203,Answers!$A$4:$A$203,$A68,Answers!$B$4:$B$203,"First"))</f>
        <v/>
      </c>
      <c r="I68" s="11" t="str">
        <f aca="false">IF(OR($A68="",COUNTIFS(Answers!$A$4:$A$203,$A68,Answers!$B$4:$B$203,"Last")=0),"",SUMIFS(Answers!$AC$4:$AC$203,Answers!$A$4:$A$203,$A68,Answers!$B$4:$B$203,"Last"))</f>
        <v/>
      </c>
      <c r="J68" s="12" t="str">
        <f aca="false">IF(OR($A68="",COUNTIFS(Answers!$A$4:$A$203,$A68,Answers!$B$4:$B$203,"First")=0),"",SUMIFS(Answers!$AD$4:$AD$203,Answers!$A$4:$A$203,$A68,Answers!$B$4:$B$203,"First"))</f>
        <v/>
      </c>
      <c r="K68" s="12" t="str">
        <f aca="false">IF(OR($A68="",COUNTIFS(Answers!$A$4:$A$203,$A68,Answers!$B$4:$B$203,"Last")=0),"",SUMIFS(Answers!$AD$4:$AD$203,Answers!$A$4:$A$203,$A68,Answers!$B$4:$B$203,"Last"))</f>
        <v/>
      </c>
      <c r="L68" s="12" t="str">
        <f aca="false">IF(OR($A68="",COUNTIFS(Answers!$A$4:$A$203,$A68,Answers!$B$4:$B$203,"First")=0),"",SUMIFS(Answers!$AE$4:$AE$203,Answers!$A$4:$A$203,$A68,Answers!$B$4:$B$203,"First"))</f>
        <v/>
      </c>
      <c r="M68" s="12" t="str">
        <f aca="false">IF(OR($A68="",COUNTIFS(Answers!$A$4:$A$203,$A68,Answers!$B$4:$B$203,"Last")=0),"",SUMIFS(Answers!$AE$4:$AE$203,Answers!$A$4:$A$203,$A68,Answers!$B$4:$B$203,"Last"))</f>
        <v/>
      </c>
      <c r="N68" s="11" t="n">
        <f aca="false">IF(AND(B68&lt;&gt;"",C68&lt;&gt;""),1,0)</f>
        <v>0</v>
      </c>
      <c r="O68" s="11" t="str">
        <f aca="false">IF($A68="","",IF(MAX(COUNTIFS(Answers!$A$4:$A$203,$A68,Answers!$B$4:$B$203,"First"),COUNTIFS(Answers!$A$4:$A$203,$A68,Answers!$B$4:$B$203,"Last"))&gt;1,"Two rows for one session: keep one",IF(B68="","No first session",IF(C68="","No last session",""))))</f>
        <v/>
      </c>
    </row>
    <row r="69" customFormat="false" ht="15" hidden="false" customHeight="false" outlineLevel="0" collapsed="false">
      <c r="A69" s="9"/>
      <c r="B69" s="11" t="str">
        <f aca="false">IF(OR($A69="",COUNTIFS(Answers!$A$4:$A$203,$A69,Answers!$B$4:$B$203,"First")=0),"",SUMIFS(Answers!$AA$4:$AA$203,Answers!$A$4:$A$203,$A69,Answers!$B$4:$B$203,"First"))</f>
        <v/>
      </c>
      <c r="C69" s="11" t="str">
        <f aca="false">IF(OR($A69="",COUNTIFS(Answers!$A$4:$A$203,$A69,Answers!$B$4:$B$203,"Last")=0),"",SUMIFS(Answers!$AA$4:$AA$203,Answers!$A$4:$A$203,$A69,Answers!$B$4:$B$203,"Last"))</f>
        <v/>
      </c>
      <c r="D69" s="11" t="str">
        <f aca="false">IF(N69=1,C69-B69,"")</f>
        <v/>
      </c>
      <c r="E69" s="19" t="str">
        <f aca="false">IF(OR(N69&lt;&gt;1,B69=16),"",(C69-B69)/(16-B69))</f>
        <v/>
      </c>
      <c r="F69" s="11" t="str">
        <f aca="false">IF(OR($A69="",COUNTIFS(Answers!$A$4:$A$203,$A69,Answers!$B$4:$B$203,"First")=0),"",SUMIFS(Answers!$AB$4:$AB$203,Answers!$A$4:$A$203,$A69,Answers!$B$4:$B$203,"First"))</f>
        <v/>
      </c>
      <c r="G69" s="11" t="str">
        <f aca="false">IF(OR($A69="",COUNTIFS(Answers!$A$4:$A$203,$A69,Answers!$B$4:$B$203,"Last")=0),"",SUMIFS(Answers!$AB$4:$AB$203,Answers!$A$4:$A$203,$A69,Answers!$B$4:$B$203,"Last"))</f>
        <v/>
      </c>
      <c r="H69" s="11" t="str">
        <f aca="false">IF(OR($A69="",COUNTIFS(Answers!$A$4:$A$203,$A69,Answers!$B$4:$B$203,"First")=0),"",SUMIFS(Answers!$AC$4:$AC$203,Answers!$A$4:$A$203,$A69,Answers!$B$4:$B$203,"First"))</f>
        <v/>
      </c>
      <c r="I69" s="11" t="str">
        <f aca="false">IF(OR($A69="",COUNTIFS(Answers!$A$4:$A$203,$A69,Answers!$B$4:$B$203,"Last")=0),"",SUMIFS(Answers!$AC$4:$AC$203,Answers!$A$4:$A$203,$A69,Answers!$B$4:$B$203,"Last"))</f>
        <v/>
      </c>
      <c r="J69" s="12" t="str">
        <f aca="false">IF(OR($A69="",COUNTIFS(Answers!$A$4:$A$203,$A69,Answers!$B$4:$B$203,"First")=0),"",SUMIFS(Answers!$AD$4:$AD$203,Answers!$A$4:$A$203,$A69,Answers!$B$4:$B$203,"First"))</f>
        <v/>
      </c>
      <c r="K69" s="12" t="str">
        <f aca="false">IF(OR($A69="",COUNTIFS(Answers!$A$4:$A$203,$A69,Answers!$B$4:$B$203,"Last")=0),"",SUMIFS(Answers!$AD$4:$AD$203,Answers!$A$4:$A$203,$A69,Answers!$B$4:$B$203,"Last"))</f>
        <v/>
      </c>
      <c r="L69" s="12" t="str">
        <f aca="false">IF(OR($A69="",COUNTIFS(Answers!$A$4:$A$203,$A69,Answers!$B$4:$B$203,"First")=0),"",SUMIFS(Answers!$AE$4:$AE$203,Answers!$A$4:$A$203,$A69,Answers!$B$4:$B$203,"First"))</f>
        <v/>
      </c>
      <c r="M69" s="12" t="str">
        <f aca="false">IF(OR($A69="",COUNTIFS(Answers!$A$4:$A$203,$A69,Answers!$B$4:$B$203,"Last")=0),"",SUMIFS(Answers!$AE$4:$AE$203,Answers!$A$4:$A$203,$A69,Answers!$B$4:$B$203,"Last"))</f>
        <v/>
      </c>
      <c r="N69" s="11" t="n">
        <f aca="false">IF(AND(B69&lt;&gt;"",C69&lt;&gt;""),1,0)</f>
        <v>0</v>
      </c>
      <c r="O69" s="11" t="str">
        <f aca="false">IF($A69="","",IF(MAX(COUNTIFS(Answers!$A$4:$A$203,$A69,Answers!$B$4:$B$203,"First"),COUNTIFS(Answers!$A$4:$A$203,$A69,Answers!$B$4:$B$203,"Last"))&gt;1,"Two rows for one session: keep one",IF(B69="","No first session",IF(C69="","No last session",""))))</f>
        <v/>
      </c>
    </row>
    <row r="70" customFormat="false" ht="15" hidden="false" customHeight="false" outlineLevel="0" collapsed="false">
      <c r="A70" s="9"/>
      <c r="B70" s="11" t="str">
        <f aca="false">IF(OR($A70="",COUNTIFS(Answers!$A$4:$A$203,$A70,Answers!$B$4:$B$203,"First")=0),"",SUMIFS(Answers!$AA$4:$AA$203,Answers!$A$4:$A$203,$A70,Answers!$B$4:$B$203,"First"))</f>
        <v/>
      </c>
      <c r="C70" s="11" t="str">
        <f aca="false">IF(OR($A70="",COUNTIFS(Answers!$A$4:$A$203,$A70,Answers!$B$4:$B$203,"Last")=0),"",SUMIFS(Answers!$AA$4:$AA$203,Answers!$A$4:$A$203,$A70,Answers!$B$4:$B$203,"Last"))</f>
        <v/>
      </c>
      <c r="D70" s="11" t="str">
        <f aca="false">IF(N70=1,C70-B70,"")</f>
        <v/>
      </c>
      <c r="E70" s="19" t="str">
        <f aca="false">IF(OR(N70&lt;&gt;1,B70=16),"",(C70-B70)/(16-B70))</f>
        <v/>
      </c>
      <c r="F70" s="11" t="str">
        <f aca="false">IF(OR($A70="",COUNTIFS(Answers!$A$4:$A$203,$A70,Answers!$B$4:$B$203,"First")=0),"",SUMIFS(Answers!$AB$4:$AB$203,Answers!$A$4:$A$203,$A70,Answers!$B$4:$B$203,"First"))</f>
        <v/>
      </c>
      <c r="G70" s="11" t="str">
        <f aca="false">IF(OR($A70="",COUNTIFS(Answers!$A$4:$A$203,$A70,Answers!$B$4:$B$203,"Last")=0),"",SUMIFS(Answers!$AB$4:$AB$203,Answers!$A$4:$A$203,$A70,Answers!$B$4:$B$203,"Last"))</f>
        <v/>
      </c>
      <c r="H70" s="11" t="str">
        <f aca="false">IF(OR($A70="",COUNTIFS(Answers!$A$4:$A$203,$A70,Answers!$B$4:$B$203,"First")=0),"",SUMIFS(Answers!$AC$4:$AC$203,Answers!$A$4:$A$203,$A70,Answers!$B$4:$B$203,"First"))</f>
        <v/>
      </c>
      <c r="I70" s="11" t="str">
        <f aca="false">IF(OR($A70="",COUNTIFS(Answers!$A$4:$A$203,$A70,Answers!$B$4:$B$203,"Last")=0),"",SUMIFS(Answers!$AC$4:$AC$203,Answers!$A$4:$A$203,$A70,Answers!$B$4:$B$203,"Last"))</f>
        <v/>
      </c>
      <c r="J70" s="12" t="str">
        <f aca="false">IF(OR($A70="",COUNTIFS(Answers!$A$4:$A$203,$A70,Answers!$B$4:$B$203,"First")=0),"",SUMIFS(Answers!$AD$4:$AD$203,Answers!$A$4:$A$203,$A70,Answers!$B$4:$B$203,"First"))</f>
        <v/>
      </c>
      <c r="K70" s="12" t="str">
        <f aca="false">IF(OR($A70="",COUNTIFS(Answers!$A$4:$A$203,$A70,Answers!$B$4:$B$203,"Last")=0),"",SUMIFS(Answers!$AD$4:$AD$203,Answers!$A$4:$A$203,$A70,Answers!$B$4:$B$203,"Last"))</f>
        <v/>
      </c>
      <c r="L70" s="12" t="str">
        <f aca="false">IF(OR($A70="",COUNTIFS(Answers!$A$4:$A$203,$A70,Answers!$B$4:$B$203,"First")=0),"",SUMIFS(Answers!$AE$4:$AE$203,Answers!$A$4:$A$203,$A70,Answers!$B$4:$B$203,"First"))</f>
        <v/>
      </c>
      <c r="M70" s="12" t="str">
        <f aca="false">IF(OR($A70="",COUNTIFS(Answers!$A$4:$A$203,$A70,Answers!$B$4:$B$203,"Last")=0),"",SUMIFS(Answers!$AE$4:$AE$203,Answers!$A$4:$A$203,$A70,Answers!$B$4:$B$203,"Last"))</f>
        <v/>
      </c>
      <c r="N70" s="11" t="n">
        <f aca="false">IF(AND(B70&lt;&gt;"",C70&lt;&gt;""),1,0)</f>
        <v>0</v>
      </c>
      <c r="O70" s="11" t="str">
        <f aca="false">IF($A70="","",IF(MAX(COUNTIFS(Answers!$A$4:$A$203,$A70,Answers!$B$4:$B$203,"First"),COUNTIFS(Answers!$A$4:$A$203,$A70,Answers!$B$4:$B$203,"Last"))&gt;1,"Two rows for one session: keep one",IF(B70="","No first session",IF(C70="","No last session",""))))</f>
        <v/>
      </c>
    </row>
    <row r="71" customFormat="false" ht="15" hidden="false" customHeight="false" outlineLevel="0" collapsed="false">
      <c r="A71" s="9"/>
      <c r="B71" s="11" t="str">
        <f aca="false">IF(OR($A71="",COUNTIFS(Answers!$A$4:$A$203,$A71,Answers!$B$4:$B$203,"First")=0),"",SUMIFS(Answers!$AA$4:$AA$203,Answers!$A$4:$A$203,$A71,Answers!$B$4:$B$203,"First"))</f>
        <v/>
      </c>
      <c r="C71" s="11" t="str">
        <f aca="false">IF(OR($A71="",COUNTIFS(Answers!$A$4:$A$203,$A71,Answers!$B$4:$B$203,"Last")=0),"",SUMIFS(Answers!$AA$4:$AA$203,Answers!$A$4:$A$203,$A71,Answers!$B$4:$B$203,"Last"))</f>
        <v/>
      </c>
      <c r="D71" s="11" t="str">
        <f aca="false">IF(N71=1,C71-B71,"")</f>
        <v/>
      </c>
      <c r="E71" s="19" t="str">
        <f aca="false">IF(OR(N71&lt;&gt;1,B71=16),"",(C71-B71)/(16-B71))</f>
        <v/>
      </c>
      <c r="F71" s="11" t="str">
        <f aca="false">IF(OR($A71="",COUNTIFS(Answers!$A$4:$A$203,$A71,Answers!$B$4:$B$203,"First")=0),"",SUMIFS(Answers!$AB$4:$AB$203,Answers!$A$4:$A$203,$A71,Answers!$B$4:$B$203,"First"))</f>
        <v/>
      </c>
      <c r="G71" s="11" t="str">
        <f aca="false">IF(OR($A71="",COUNTIFS(Answers!$A$4:$A$203,$A71,Answers!$B$4:$B$203,"Last")=0),"",SUMIFS(Answers!$AB$4:$AB$203,Answers!$A$4:$A$203,$A71,Answers!$B$4:$B$203,"Last"))</f>
        <v/>
      </c>
      <c r="H71" s="11" t="str">
        <f aca="false">IF(OR($A71="",COUNTIFS(Answers!$A$4:$A$203,$A71,Answers!$B$4:$B$203,"First")=0),"",SUMIFS(Answers!$AC$4:$AC$203,Answers!$A$4:$A$203,$A71,Answers!$B$4:$B$203,"First"))</f>
        <v/>
      </c>
      <c r="I71" s="11" t="str">
        <f aca="false">IF(OR($A71="",COUNTIFS(Answers!$A$4:$A$203,$A71,Answers!$B$4:$B$203,"Last")=0),"",SUMIFS(Answers!$AC$4:$AC$203,Answers!$A$4:$A$203,$A71,Answers!$B$4:$B$203,"Last"))</f>
        <v/>
      </c>
      <c r="J71" s="12" t="str">
        <f aca="false">IF(OR($A71="",COUNTIFS(Answers!$A$4:$A$203,$A71,Answers!$B$4:$B$203,"First")=0),"",SUMIFS(Answers!$AD$4:$AD$203,Answers!$A$4:$A$203,$A71,Answers!$B$4:$B$203,"First"))</f>
        <v/>
      </c>
      <c r="K71" s="12" t="str">
        <f aca="false">IF(OR($A71="",COUNTIFS(Answers!$A$4:$A$203,$A71,Answers!$B$4:$B$203,"Last")=0),"",SUMIFS(Answers!$AD$4:$AD$203,Answers!$A$4:$A$203,$A71,Answers!$B$4:$B$203,"Last"))</f>
        <v/>
      </c>
      <c r="L71" s="12" t="str">
        <f aca="false">IF(OR($A71="",COUNTIFS(Answers!$A$4:$A$203,$A71,Answers!$B$4:$B$203,"First")=0),"",SUMIFS(Answers!$AE$4:$AE$203,Answers!$A$4:$A$203,$A71,Answers!$B$4:$B$203,"First"))</f>
        <v/>
      </c>
      <c r="M71" s="12" t="str">
        <f aca="false">IF(OR($A71="",COUNTIFS(Answers!$A$4:$A$203,$A71,Answers!$B$4:$B$203,"Last")=0),"",SUMIFS(Answers!$AE$4:$AE$203,Answers!$A$4:$A$203,$A71,Answers!$B$4:$B$203,"Last"))</f>
        <v/>
      </c>
      <c r="N71" s="11" t="n">
        <f aca="false">IF(AND(B71&lt;&gt;"",C71&lt;&gt;""),1,0)</f>
        <v>0</v>
      </c>
      <c r="O71" s="11" t="str">
        <f aca="false">IF($A71="","",IF(MAX(COUNTIFS(Answers!$A$4:$A$203,$A71,Answers!$B$4:$B$203,"First"),COUNTIFS(Answers!$A$4:$A$203,$A71,Answers!$B$4:$B$203,"Last"))&gt;1,"Two rows for one session: keep one",IF(B71="","No first session",IF(C71="","No last session",""))))</f>
        <v/>
      </c>
    </row>
    <row r="72" customFormat="false" ht="15" hidden="false" customHeight="false" outlineLevel="0" collapsed="false">
      <c r="A72" s="9"/>
      <c r="B72" s="11" t="str">
        <f aca="false">IF(OR($A72="",COUNTIFS(Answers!$A$4:$A$203,$A72,Answers!$B$4:$B$203,"First")=0),"",SUMIFS(Answers!$AA$4:$AA$203,Answers!$A$4:$A$203,$A72,Answers!$B$4:$B$203,"First"))</f>
        <v/>
      </c>
      <c r="C72" s="11" t="str">
        <f aca="false">IF(OR($A72="",COUNTIFS(Answers!$A$4:$A$203,$A72,Answers!$B$4:$B$203,"Last")=0),"",SUMIFS(Answers!$AA$4:$AA$203,Answers!$A$4:$A$203,$A72,Answers!$B$4:$B$203,"Last"))</f>
        <v/>
      </c>
      <c r="D72" s="11" t="str">
        <f aca="false">IF(N72=1,C72-B72,"")</f>
        <v/>
      </c>
      <c r="E72" s="19" t="str">
        <f aca="false">IF(OR(N72&lt;&gt;1,B72=16),"",(C72-B72)/(16-B72))</f>
        <v/>
      </c>
      <c r="F72" s="11" t="str">
        <f aca="false">IF(OR($A72="",COUNTIFS(Answers!$A$4:$A$203,$A72,Answers!$B$4:$B$203,"First")=0),"",SUMIFS(Answers!$AB$4:$AB$203,Answers!$A$4:$A$203,$A72,Answers!$B$4:$B$203,"First"))</f>
        <v/>
      </c>
      <c r="G72" s="11" t="str">
        <f aca="false">IF(OR($A72="",COUNTIFS(Answers!$A$4:$A$203,$A72,Answers!$B$4:$B$203,"Last")=0),"",SUMIFS(Answers!$AB$4:$AB$203,Answers!$A$4:$A$203,$A72,Answers!$B$4:$B$203,"Last"))</f>
        <v/>
      </c>
      <c r="H72" s="11" t="str">
        <f aca="false">IF(OR($A72="",COUNTIFS(Answers!$A$4:$A$203,$A72,Answers!$B$4:$B$203,"First")=0),"",SUMIFS(Answers!$AC$4:$AC$203,Answers!$A$4:$A$203,$A72,Answers!$B$4:$B$203,"First"))</f>
        <v/>
      </c>
      <c r="I72" s="11" t="str">
        <f aca="false">IF(OR($A72="",COUNTIFS(Answers!$A$4:$A$203,$A72,Answers!$B$4:$B$203,"Last")=0),"",SUMIFS(Answers!$AC$4:$AC$203,Answers!$A$4:$A$203,$A72,Answers!$B$4:$B$203,"Last"))</f>
        <v/>
      </c>
      <c r="J72" s="12" t="str">
        <f aca="false">IF(OR($A72="",COUNTIFS(Answers!$A$4:$A$203,$A72,Answers!$B$4:$B$203,"First")=0),"",SUMIFS(Answers!$AD$4:$AD$203,Answers!$A$4:$A$203,$A72,Answers!$B$4:$B$203,"First"))</f>
        <v/>
      </c>
      <c r="K72" s="12" t="str">
        <f aca="false">IF(OR($A72="",COUNTIFS(Answers!$A$4:$A$203,$A72,Answers!$B$4:$B$203,"Last")=0),"",SUMIFS(Answers!$AD$4:$AD$203,Answers!$A$4:$A$203,$A72,Answers!$B$4:$B$203,"Last"))</f>
        <v/>
      </c>
      <c r="L72" s="12" t="str">
        <f aca="false">IF(OR($A72="",COUNTIFS(Answers!$A$4:$A$203,$A72,Answers!$B$4:$B$203,"First")=0),"",SUMIFS(Answers!$AE$4:$AE$203,Answers!$A$4:$A$203,$A72,Answers!$B$4:$B$203,"First"))</f>
        <v/>
      </c>
      <c r="M72" s="12" t="str">
        <f aca="false">IF(OR($A72="",COUNTIFS(Answers!$A$4:$A$203,$A72,Answers!$B$4:$B$203,"Last")=0),"",SUMIFS(Answers!$AE$4:$AE$203,Answers!$A$4:$A$203,$A72,Answers!$B$4:$B$203,"Last"))</f>
        <v/>
      </c>
      <c r="N72" s="11" t="n">
        <f aca="false">IF(AND(B72&lt;&gt;"",C72&lt;&gt;""),1,0)</f>
        <v>0</v>
      </c>
      <c r="O72" s="11" t="str">
        <f aca="false">IF($A72="","",IF(MAX(COUNTIFS(Answers!$A$4:$A$203,$A72,Answers!$B$4:$B$203,"First"),COUNTIFS(Answers!$A$4:$A$203,$A72,Answers!$B$4:$B$203,"Last"))&gt;1,"Two rows for one session: keep one",IF(B72="","No first session",IF(C72="","No last session",""))))</f>
        <v/>
      </c>
    </row>
    <row r="73" customFormat="false" ht="15" hidden="false" customHeight="false" outlineLevel="0" collapsed="false">
      <c r="A73" s="9"/>
      <c r="B73" s="11" t="str">
        <f aca="false">IF(OR($A73="",COUNTIFS(Answers!$A$4:$A$203,$A73,Answers!$B$4:$B$203,"First")=0),"",SUMIFS(Answers!$AA$4:$AA$203,Answers!$A$4:$A$203,$A73,Answers!$B$4:$B$203,"First"))</f>
        <v/>
      </c>
      <c r="C73" s="11" t="str">
        <f aca="false">IF(OR($A73="",COUNTIFS(Answers!$A$4:$A$203,$A73,Answers!$B$4:$B$203,"Last")=0),"",SUMIFS(Answers!$AA$4:$AA$203,Answers!$A$4:$A$203,$A73,Answers!$B$4:$B$203,"Last"))</f>
        <v/>
      </c>
      <c r="D73" s="11" t="str">
        <f aca="false">IF(N73=1,C73-B73,"")</f>
        <v/>
      </c>
      <c r="E73" s="19" t="str">
        <f aca="false">IF(OR(N73&lt;&gt;1,B73=16),"",(C73-B73)/(16-B73))</f>
        <v/>
      </c>
      <c r="F73" s="11" t="str">
        <f aca="false">IF(OR($A73="",COUNTIFS(Answers!$A$4:$A$203,$A73,Answers!$B$4:$B$203,"First")=0),"",SUMIFS(Answers!$AB$4:$AB$203,Answers!$A$4:$A$203,$A73,Answers!$B$4:$B$203,"First"))</f>
        <v/>
      </c>
      <c r="G73" s="11" t="str">
        <f aca="false">IF(OR($A73="",COUNTIFS(Answers!$A$4:$A$203,$A73,Answers!$B$4:$B$203,"Last")=0),"",SUMIFS(Answers!$AB$4:$AB$203,Answers!$A$4:$A$203,$A73,Answers!$B$4:$B$203,"Last"))</f>
        <v/>
      </c>
      <c r="H73" s="11" t="str">
        <f aca="false">IF(OR($A73="",COUNTIFS(Answers!$A$4:$A$203,$A73,Answers!$B$4:$B$203,"First")=0),"",SUMIFS(Answers!$AC$4:$AC$203,Answers!$A$4:$A$203,$A73,Answers!$B$4:$B$203,"First"))</f>
        <v/>
      </c>
      <c r="I73" s="11" t="str">
        <f aca="false">IF(OR($A73="",COUNTIFS(Answers!$A$4:$A$203,$A73,Answers!$B$4:$B$203,"Last")=0),"",SUMIFS(Answers!$AC$4:$AC$203,Answers!$A$4:$A$203,$A73,Answers!$B$4:$B$203,"Last"))</f>
        <v/>
      </c>
      <c r="J73" s="12" t="str">
        <f aca="false">IF(OR($A73="",COUNTIFS(Answers!$A$4:$A$203,$A73,Answers!$B$4:$B$203,"First")=0),"",SUMIFS(Answers!$AD$4:$AD$203,Answers!$A$4:$A$203,$A73,Answers!$B$4:$B$203,"First"))</f>
        <v/>
      </c>
      <c r="K73" s="12" t="str">
        <f aca="false">IF(OR($A73="",COUNTIFS(Answers!$A$4:$A$203,$A73,Answers!$B$4:$B$203,"Last")=0),"",SUMIFS(Answers!$AD$4:$AD$203,Answers!$A$4:$A$203,$A73,Answers!$B$4:$B$203,"Last"))</f>
        <v/>
      </c>
      <c r="L73" s="12" t="str">
        <f aca="false">IF(OR($A73="",COUNTIFS(Answers!$A$4:$A$203,$A73,Answers!$B$4:$B$203,"First")=0),"",SUMIFS(Answers!$AE$4:$AE$203,Answers!$A$4:$A$203,$A73,Answers!$B$4:$B$203,"First"))</f>
        <v/>
      </c>
      <c r="M73" s="12" t="str">
        <f aca="false">IF(OR($A73="",COUNTIFS(Answers!$A$4:$A$203,$A73,Answers!$B$4:$B$203,"Last")=0),"",SUMIFS(Answers!$AE$4:$AE$203,Answers!$A$4:$A$203,$A73,Answers!$B$4:$B$203,"Last"))</f>
        <v/>
      </c>
      <c r="N73" s="11" t="n">
        <f aca="false">IF(AND(B73&lt;&gt;"",C73&lt;&gt;""),1,0)</f>
        <v>0</v>
      </c>
      <c r="O73" s="11" t="str">
        <f aca="false">IF($A73="","",IF(MAX(COUNTIFS(Answers!$A$4:$A$203,$A73,Answers!$B$4:$B$203,"First"),COUNTIFS(Answers!$A$4:$A$203,$A73,Answers!$B$4:$B$203,"Last"))&gt;1,"Two rows for one session: keep one",IF(B73="","No first session",IF(C73="","No last session",""))))</f>
        <v/>
      </c>
    </row>
    <row r="74" customFormat="false" ht="15" hidden="false" customHeight="false" outlineLevel="0" collapsed="false">
      <c r="A74" s="9"/>
      <c r="B74" s="11" t="str">
        <f aca="false">IF(OR($A74="",COUNTIFS(Answers!$A$4:$A$203,$A74,Answers!$B$4:$B$203,"First")=0),"",SUMIFS(Answers!$AA$4:$AA$203,Answers!$A$4:$A$203,$A74,Answers!$B$4:$B$203,"First"))</f>
        <v/>
      </c>
      <c r="C74" s="11" t="str">
        <f aca="false">IF(OR($A74="",COUNTIFS(Answers!$A$4:$A$203,$A74,Answers!$B$4:$B$203,"Last")=0),"",SUMIFS(Answers!$AA$4:$AA$203,Answers!$A$4:$A$203,$A74,Answers!$B$4:$B$203,"Last"))</f>
        <v/>
      </c>
      <c r="D74" s="11" t="str">
        <f aca="false">IF(N74=1,C74-B74,"")</f>
        <v/>
      </c>
      <c r="E74" s="19" t="str">
        <f aca="false">IF(OR(N74&lt;&gt;1,B74=16),"",(C74-B74)/(16-B74))</f>
        <v/>
      </c>
      <c r="F74" s="11" t="str">
        <f aca="false">IF(OR($A74="",COUNTIFS(Answers!$A$4:$A$203,$A74,Answers!$B$4:$B$203,"First")=0),"",SUMIFS(Answers!$AB$4:$AB$203,Answers!$A$4:$A$203,$A74,Answers!$B$4:$B$203,"First"))</f>
        <v/>
      </c>
      <c r="G74" s="11" t="str">
        <f aca="false">IF(OR($A74="",COUNTIFS(Answers!$A$4:$A$203,$A74,Answers!$B$4:$B$203,"Last")=0),"",SUMIFS(Answers!$AB$4:$AB$203,Answers!$A$4:$A$203,$A74,Answers!$B$4:$B$203,"Last"))</f>
        <v/>
      </c>
      <c r="H74" s="11" t="str">
        <f aca="false">IF(OR($A74="",COUNTIFS(Answers!$A$4:$A$203,$A74,Answers!$B$4:$B$203,"First")=0),"",SUMIFS(Answers!$AC$4:$AC$203,Answers!$A$4:$A$203,$A74,Answers!$B$4:$B$203,"First"))</f>
        <v/>
      </c>
      <c r="I74" s="11" t="str">
        <f aca="false">IF(OR($A74="",COUNTIFS(Answers!$A$4:$A$203,$A74,Answers!$B$4:$B$203,"Last")=0),"",SUMIFS(Answers!$AC$4:$AC$203,Answers!$A$4:$A$203,$A74,Answers!$B$4:$B$203,"Last"))</f>
        <v/>
      </c>
      <c r="J74" s="12" t="str">
        <f aca="false">IF(OR($A74="",COUNTIFS(Answers!$A$4:$A$203,$A74,Answers!$B$4:$B$203,"First")=0),"",SUMIFS(Answers!$AD$4:$AD$203,Answers!$A$4:$A$203,$A74,Answers!$B$4:$B$203,"First"))</f>
        <v/>
      </c>
      <c r="K74" s="12" t="str">
        <f aca="false">IF(OR($A74="",COUNTIFS(Answers!$A$4:$A$203,$A74,Answers!$B$4:$B$203,"Last")=0),"",SUMIFS(Answers!$AD$4:$AD$203,Answers!$A$4:$A$203,$A74,Answers!$B$4:$B$203,"Last"))</f>
        <v/>
      </c>
      <c r="L74" s="12" t="str">
        <f aca="false">IF(OR($A74="",COUNTIFS(Answers!$A$4:$A$203,$A74,Answers!$B$4:$B$203,"First")=0),"",SUMIFS(Answers!$AE$4:$AE$203,Answers!$A$4:$A$203,$A74,Answers!$B$4:$B$203,"First"))</f>
        <v/>
      </c>
      <c r="M74" s="12" t="str">
        <f aca="false">IF(OR($A74="",COUNTIFS(Answers!$A$4:$A$203,$A74,Answers!$B$4:$B$203,"Last")=0),"",SUMIFS(Answers!$AE$4:$AE$203,Answers!$A$4:$A$203,$A74,Answers!$B$4:$B$203,"Last"))</f>
        <v/>
      </c>
      <c r="N74" s="11" t="n">
        <f aca="false">IF(AND(B74&lt;&gt;"",C74&lt;&gt;""),1,0)</f>
        <v>0</v>
      </c>
      <c r="O74" s="11" t="str">
        <f aca="false">IF($A74="","",IF(MAX(COUNTIFS(Answers!$A$4:$A$203,$A74,Answers!$B$4:$B$203,"First"),COUNTIFS(Answers!$A$4:$A$203,$A74,Answers!$B$4:$B$203,"Last"))&gt;1,"Two rows for one session: keep one",IF(B74="","No first session",IF(C74="","No last session",""))))</f>
        <v/>
      </c>
    </row>
    <row r="75" customFormat="false" ht="15" hidden="false" customHeight="false" outlineLevel="0" collapsed="false">
      <c r="A75" s="9"/>
      <c r="B75" s="11" t="str">
        <f aca="false">IF(OR($A75="",COUNTIFS(Answers!$A$4:$A$203,$A75,Answers!$B$4:$B$203,"First")=0),"",SUMIFS(Answers!$AA$4:$AA$203,Answers!$A$4:$A$203,$A75,Answers!$B$4:$B$203,"First"))</f>
        <v/>
      </c>
      <c r="C75" s="11" t="str">
        <f aca="false">IF(OR($A75="",COUNTIFS(Answers!$A$4:$A$203,$A75,Answers!$B$4:$B$203,"Last")=0),"",SUMIFS(Answers!$AA$4:$AA$203,Answers!$A$4:$A$203,$A75,Answers!$B$4:$B$203,"Last"))</f>
        <v/>
      </c>
      <c r="D75" s="11" t="str">
        <f aca="false">IF(N75=1,C75-B75,"")</f>
        <v/>
      </c>
      <c r="E75" s="19" t="str">
        <f aca="false">IF(OR(N75&lt;&gt;1,B75=16),"",(C75-B75)/(16-B75))</f>
        <v/>
      </c>
      <c r="F75" s="11" t="str">
        <f aca="false">IF(OR($A75="",COUNTIFS(Answers!$A$4:$A$203,$A75,Answers!$B$4:$B$203,"First")=0),"",SUMIFS(Answers!$AB$4:$AB$203,Answers!$A$4:$A$203,$A75,Answers!$B$4:$B$203,"First"))</f>
        <v/>
      </c>
      <c r="G75" s="11" t="str">
        <f aca="false">IF(OR($A75="",COUNTIFS(Answers!$A$4:$A$203,$A75,Answers!$B$4:$B$203,"Last")=0),"",SUMIFS(Answers!$AB$4:$AB$203,Answers!$A$4:$A$203,$A75,Answers!$B$4:$B$203,"Last"))</f>
        <v/>
      </c>
      <c r="H75" s="11" t="str">
        <f aca="false">IF(OR($A75="",COUNTIFS(Answers!$A$4:$A$203,$A75,Answers!$B$4:$B$203,"First")=0),"",SUMIFS(Answers!$AC$4:$AC$203,Answers!$A$4:$A$203,$A75,Answers!$B$4:$B$203,"First"))</f>
        <v/>
      </c>
      <c r="I75" s="11" t="str">
        <f aca="false">IF(OR($A75="",COUNTIFS(Answers!$A$4:$A$203,$A75,Answers!$B$4:$B$203,"Last")=0),"",SUMIFS(Answers!$AC$4:$AC$203,Answers!$A$4:$A$203,$A75,Answers!$B$4:$B$203,"Last"))</f>
        <v/>
      </c>
      <c r="J75" s="12" t="str">
        <f aca="false">IF(OR($A75="",COUNTIFS(Answers!$A$4:$A$203,$A75,Answers!$B$4:$B$203,"First")=0),"",SUMIFS(Answers!$AD$4:$AD$203,Answers!$A$4:$A$203,$A75,Answers!$B$4:$B$203,"First"))</f>
        <v/>
      </c>
      <c r="K75" s="12" t="str">
        <f aca="false">IF(OR($A75="",COUNTIFS(Answers!$A$4:$A$203,$A75,Answers!$B$4:$B$203,"Last")=0),"",SUMIFS(Answers!$AD$4:$AD$203,Answers!$A$4:$A$203,$A75,Answers!$B$4:$B$203,"Last"))</f>
        <v/>
      </c>
      <c r="L75" s="12" t="str">
        <f aca="false">IF(OR($A75="",COUNTIFS(Answers!$A$4:$A$203,$A75,Answers!$B$4:$B$203,"First")=0),"",SUMIFS(Answers!$AE$4:$AE$203,Answers!$A$4:$A$203,$A75,Answers!$B$4:$B$203,"First"))</f>
        <v/>
      </c>
      <c r="M75" s="12" t="str">
        <f aca="false">IF(OR($A75="",COUNTIFS(Answers!$A$4:$A$203,$A75,Answers!$B$4:$B$203,"Last")=0),"",SUMIFS(Answers!$AE$4:$AE$203,Answers!$A$4:$A$203,$A75,Answers!$B$4:$B$203,"Last"))</f>
        <v/>
      </c>
      <c r="N75" s="11" t="n">
        <f aca="false">IF(AND(B75&lt;&gt;"",C75&lt;&gt;""),1,0)</f>
        <v>0</v>
      </c>
      <c r="O75" s="11" t="str">
        <f aca="false">IF($A75="","",IF(MAX(COUNTIFS(Answers!$A$4:$A$203,$A75,Answers!$B$4:$B$203,"First"),COUNTIFS(Answers!$A$4:$A$203,$A75,Answers!$B$4:$B$203,"Last"))&gt;1,"Two rows for one session: keep one",IF(B75="","No first session",IF(C75="","No last session",""))))</f>
        <v/>
      </c>
    </row>
    <row r="76" customFormat="false" ht="15" hidden="false" customHeight="false" outlineLevel="0" collapsed="false">
      <c r="A76" s="9"/>
      <c r="B76" s="11" t="str">
        <f aca="false">IF(OR($A76="",COUNTIFS(Answers!$A$4:$A$203,$A76,Answers!$B$4:$B$203,"First")=0),"",SUMIFS(Answers!$AA$4:$AA$203,Answers!$A$4:$A$203,$A76,Answers!$B$4:$B$203,"First"))</f>
        <v/>
      </c>
      <c r="C76" s="11" t="str">
        <f aca="false">IF(OR($A76="",COUNTIFS(Answers!$A$4:$A$203,$A76,Answers!$B$4:$B$203,"Last")=0),"",SUMIFS(Answers!$AA$4:$AA$203,Answers!$A$4:$A$203,$A76,Answers!$B$4:$B$203,"Last"))</f>
        <v/>
      </c>
      <c r="D76" s="11" t="str">
        <f aca="false">IF(N76=1,C76-B76,"")</f>
        <v/>
      </c>
      <c r="E76" s="19" t="str">
        <f aca="false">IF(OR(N76&lt;&gt;1,B76=16),"",(C76-B76)/(16-B76))</f>
        <v/>
      </c>
      <c r="F76" s="11" t="str">
        <f aca="false">IF(OR($A76="",COUNTIFS(Answers!$A$4:$A$203,$A76,Answers!$B$4:$B$203,"First")=0),"",SUMIFS(Answers!$AB$4:$AB$203,Answers!$A$4:$A$203,$A76,Answers!$B$4:$B$203,"First"))</f>
        <v/>
      </c>
      <c r="G76" s="11" t="str">
        <f aca="false">IF(OR($A76="",COUNTIFS(Answers!$A$4:$A$203,$A76,Answers!$B$4:$B$203,"Last")=0),"",SUMIFS(Answers!$AB$4:$AB$203,Answers!$A$4:$A$203,$A76,Answers!$B$4:$B$203,"Last"))</f>
        <v/>
      </c>
      <c r="H76" s="11" t="str">
        <f aca="false">IF(OR($A76="",COUNTIFS(Answers!$A$4:$A$203,$A76,Answers!$B$4:$B$203,"First")=0),"",SUMIFS(Answers!$AC$4:$AC$203,Answers!$A$4:$A$203,$A76,Answers!$B$4:$B$203,"First"))</f>
        <v/>
      </c>
      <c r="I76" s="11" t="str">
        <f aca="false">IF(OR($A76="",COUNTIFS(Answers!$A$4:$A$203,$A76,Answers!$B$4:$B$203,"Last")=0),"",SUMIFS(Answers!$AC$4:$AC$203,Answers!$A$4:$A$203,$A76,Answers!$B$4:$B$203,"Last"))</f>
        <v/>
      </c>
      <c r="J76" s="12" t="str">
        <f aca="false">IF(OR($A76="",COUNTIFS(Answers!$A$4:$A$203,$A76,Answers!$B$4:$B$203,"First")=0),"",SUMIFS(Answers!$AD$4:$AD$203,Answers!$A$4:$A$203,$A76,Answers!$B$4:$B$203,"First"))</f>
        <v/>
      </c>
      <c r="K76" s="12" t="str">
        <f aca="false">IF(OR($A76="",COUNTIFS(Answers!$A$4:$A$203,$A76,Answers!$B$4:$B$203,"Last")=0),"",SUMIFS(Answers!$AD$4:$AD$203,Answers!$A$4:$A$203,$A76,Answers!$B$4:$B$203,"Last"))</f>
        <v/>
      </c>
      <c r="L76" s="12" t="str">
        <f aca="false">IF(OR($A76="",COUNTIFS(Answers!$A$4:$A$203,$A76,Answers!$B$4:$B$203,"First")=0),"",SUMIFS(Answers!$AE$4:$AE$203,Answers!$A$4:$A$203,$A76,Answers!$B$4:$B$203,"First"))</f>
        <v/>
      </c>
      <c r="M76" s="12" t="str">
        <f aca="false">IF(OR($A76="",COUNTIFS(Answers!$A$4:$A$203,$A76,Answers!$B$4:$B$203,"Last")=0),"",SUMIFS(Answers!$AE$4:$AE$203,Answers!$A$4:$A$203,$A76,Answers!$B$4:$B$203,"Last"))</f>
        <v/>
      </c>
      <c r="N76" s="11" t="n">
        <f aca="false">IF(AND(B76&lt;&gt;"",C76&lt;&gt;""),1,0)</f>
        <v>0</v>
      </c>
      <c r="O76" s="11" t="str">
        <f aca="false">IF($A76="","",IF(MAX(COUNTIFS(Answers!$A$4:$A$203,$A76,Answers!$B$4:$B$203,"First"),COUNTIFS(Answers!$A$4:$A$203,$A76,Answers!$B$4:$B$203,"Last"))&gt;1,"Two rows for one session: keep one",IF(B76="","No first session",IF(C76="","No last session",""))))</f>
        <v/>
      </c>
    </row>
    <row r="77" customFormat="false" ht="15" hidden="false" customHeight="false" outlineLevel="0" collapsed="false">
      <c r="A77" s="9"/>
      <c r="B77" s="11" t="str">
        <f aca="false">IF(OR($A77="",COUNTIFS(Answers!$A$4:$A$203,$A77,Answers!$B$4:$B$203,"First")=0),"",SUMIFS(Answers!$AA$4:$AA$203,Answers!$A$4:$A$203,$A77,Answers!$B$4:$B$203,"First"))</f>
        <v/>
      </c>
      <c r="C77" s="11" t="str">
        <f aca="false">IF(OR($A77="",COUNTIFS(Answers!$A$4:$A$203,$A77,Answers!$B$4:$B$203,"Last")=0),"",SUMIFS(Answers!$AA$4:$AA$203,Answers!$A$4:$A$203,$A77,Answers!$B$4:$B$203,"Last"))</f>
        <v/>
      </c>
      <c r="D77" s="11" t="str">
        <f aca="false">IF(N77=1,C77-B77,"")</f>
        <v/>
      </c>
      <c r="E77" s="19" t="str">
        <f aca="false">IF(OR(N77&lt;&gt;1,B77=16),"",(C77-B77)/(16-B77))</f>
        <v/>
      </c>
      <c r="F77" s="11" t="str">
        <f aca="false">IF(OR($A77="",COUNTIFS(Answers!$A$4:$A$203,$A77,Answers!$B$4:$B$203,"First")=0),"",SUMIFS(Answers!$AB$4:$AB$203,Answers!$A$4:$A$203,$A77,Answers!$B$4:$B$203,"First"))</f>
        <v/>
      </c>
      <c r="G77" s="11" t="str">
        <f aca="false">IF(OR($A77="",COUNTIFS(Answers!$A$4:$A$203,$A77,Answers!$B$4:$B$203,"Last")=0),"",SUMIFS(Answers!$AB$4:$AB$203,Answers!$A$4:$A$203,$A77,Answers!$B$4:$B$203,"Last"))</f>
        <v/>
      </c>
      <c r="H77" s="11" t="str">
        <f aca="false">IF(OR($A77="",COUNTIFS(Answers!$A$4:$A$203,$A77,Answers!$B$4:$B$203,"First")=0),"",SUMIFS(Answers!$AC$4:$AC$203,Answers!$A$4:$A$203,$A77,Answers!$B$4:$B$203,"First"))</f>
        <v/>
      </c>
      <c r="I77" s="11" t="str">
        <f aca="false">IF(OR($A77="",COUNTIFS(Answers!$A$4:$A$203,$A77,Answers!$B$4:$B$203,"Last")=0),"",SUMIFS(Answers!$AC$4:$AC$203,Answers!$A$4:$A$203,$A77,Answers!$B$4:$B$203,"Last"))</f>
        <v/>
      </c>
      <c r="J77" s="12" t="str">
        <f aca="false">IF(OR($A77="",COUNTIFS(Answers!$A$4:$A$203,$A77,Answers!$B$4:$B$203,"First")=0),"",SUMIFS(Answers!$AD$4:$AD$203,Answers!$A$4:$A$203,$A77,Answers!$B$4:$B$203,"First"))</f>
        <v/>
      </c>
      <c r="K77" s="12" t="str">
        <f aca="false">IF(OR($A77="",COUNTIFS(Answers!$A$4:$A$203,$A77,Answers!$B$4:$B$203,"Last")=0),"",SUMIFS(Answers!$AD$4:$AD$203,Answers!$A$4:$A$203,$A77,Answers!$B$4:$B$203,"Last"))</f>
        <v/>
      </c>
      <c r="L77" s="12" t="str">
        <f aca="false">IF(OR($A77="",COUNTIFS(Answers!$A$4:$A$203,$A77,Answers!$B$4:$B$203,"First")=0),"",SUMIFS(Answers!$AE$4:$AE$203,Answers!$A$4:$A$203,$A77,Answers!$B$4:$B$203,"First"))</f>
        <v/>
      </c>
      <c r="M77" s="12" t="str">
        <f aca="false">IF(OR($A77="",COUNTIFS(Answers!$A$4:$A$203,$A77,Answers!$B$4:$B$203,"Last")=0),"",SUMIFS(Answers!$AE$4:$AE$203,Answers!$A$4:$A$203,$A77,Answers!$B$4:$B$203,"Last"))</f>
        <v/>
      </c>
      <c r="N77" s="11" t="n">
        <f aca="false">IF(AND(B77&lt;&gt;"",C77&lt;&gt;""),1,0)</f>
        <v>0</v>
      </c>
      <c r="O77" s="11" t="str">
        <f aca="false">IF($A77="","",IF(MAX(COUNTIFS(Answers!$A$4:$A$203,$A77,Answers!$B$4:$B$203,"First"),COUNTIFS(Answers!$A$4:$A$203,$A77,Answers!$B$4:$B$203,"Last"))&gt;1,"Two rows for one session: keep one",IF(B77="","No first session",IF(C77="","No last session",""))))</f>
        <v/>
      </c>
    </row>
    <row r="78" customFormat="false" ht="15" hidden="false" customHeight="false" outlineLevel="0" collapsed="false">
      <c r="A78" s="9"/>
      <c r="B78" s="11" t="str">
        <f aca="false">IF(OR($A78="",COUNTIFS(Answers!$A$4:$A$203,$A78,Answers!$B$4:$B$203,"First")=0),"",SUMIFS(Answers!$AA$4:$AA$203,Answers!$A$4:$A$203,$A78,Answers!$B$4:$B$203,"First"))</f>
        <v/>
      </c>
      <c r="C78" s="11" t="str">
        <f aca="false">IF(OR($A78="",COUNTIFS(Answers!$A$4:$A$203,$A78,Answers!$B$4:$B$203,"Last")=0),"",SUMIFS(Answers!$AA$4:$AA$203,Answers!$A$4:$A$203,$A78,Answers!$B$4:$B$203,"Last"))</f>
        <v/>
      </c>
      <c r="D78" s="11" t="str">
        <f aca="false">IF(N78=1,C78-B78,"")</f>
        <v/>
      </c>
      <c r="E78" s="19" t="str">
        <f aca="false">IF(OR(N78&lt;&gt;1,B78=16),"",(C78-B78)/(16-B78))</f>
        <v/>
      </c>
      <c r="F78" s="11" t="str">
        <f aca="false">IF(OR($A78="",COUNTIFS(Answers!$A$4:$A$203,$A78,Answers!$B$4:$B$203,"First")=0),"",SUMIFS(Answers!$AB$4:$AB$203,Answers!$A$4:$A$203,$A78,Answers!$B$4:$B$203,"First"))</f>
        <v/>
      </c>
      <c r="G78" s="11" t="str">
        <f aca="false">IF(OR($A78="",COUNTIFS(Answers!$A$4:$A$203,$A78,Answers!$B$4:$B$203,"Last")=0),"",SUMIFS(Answers!$AB$4:$AB$203,Answers!$A$4:$A$203,$A78,Answers!$B$4:$B$203,"Last"))</f>
        <v/>
      </c>
      <c r="H78" s="11" t="str">
        <f aca="false">IF(OR($A78="",COUNTIFS(Answers!$A$4:$A$203,$A78,Answers!$B$4:$B$203,"First")=0),"",SUMIFS(Answers!$AC$4:$AC$203,Answers!$A$4:$A$203,$A78,Answers!$B$4:$B$203,"First"))</f>
        <v/>
      </c>
      <c r="I78" s="11" t="str">
        <f aca="false">IF(OR($A78="",COUNTIFS(Answers!$A$4:$A$203,$A78,Answers!$B$4:$B$203,"Last")=0),"",SUMIFS(Answers!$AC$4:$AC$203,Answers!$A$4:$A$203,$A78,Answers!$B$4:$B$203,"Last"))</f>
        <v/>
      </c>
      <c r="J78" s="12" t="str">
        <f aca="false">IF(OR($A78="",COUNTIFS(Answers!$A$4:$A$203,$A78,Answers!$B$4:$B$203,"First")=0),"",SUMIFS(Answers!$AD$4:$AD$203,Answers!$A$4:$A$203,$A78,Answers!$B$4:$B$203,"First"))</f>
        <v/>
      </c>
      <c r="K78" s="12" t="str">
        <f aca="false">IF(OR($A78="",COUNTIFS(Answers!$A$4:$A$203,$A78,Answers!$B$4:$B$203,"Last")=0),"",SUMIFS(Answers!$AD$4:$AD$203,Answers!$A$4:$A$203,$A78,Answers!$B$4:$B$203,"Last"))</f>
        <v/>
      </c>
      <c r="L78" s="12" t="str">
        <f aca="false">IF(OR($A78="",COUNTIFS(Answers!$A$4:$A$203,$A78,Answers!$B$4:$B$203,"First")=0),"",SUMIFS(Answers!$AE$4:$AE$203,Answers!$A$4:$A$203,$A78,Answers!$B$4:$B$203,"First"))</f>
        <v/>
      </c>
      <c r="M78" s="12" t="str">
        <f aca="false">IF(OR($A78="",COUNTIFS(Answers!$A$4:$A$203,$A78,Answers!$B$4:$B$203,"Last")=0),"",SUMIFS(Answers!$AE$4:$AE$203,Answers!$A$4:$A$203,$A78,Answers!$B$4:$B$203,"Last"))</f>
        <v/>
      </c>
      <c r="N78" s="11" t="n">
        <f aca="false">IF(AND(B78&lt;&gt;"",C78&lt;&gt;""),1,0)</f>
        <v>0</v>
      </c>
      <c r="O78" s="11" t="str">
        <f aca="false">IF($A78="","",IF(MAX(COUNTIFS(Answers!$A$4:$A$203,$A78,Answers!$B$4:$B$203,"First"),COUNTIFS(Answers!$A$4:$A$203,$A78,Answers!$B$4:$B$203,"Last"))&gt;1,"Two rows for one session: keep one",IF(B78="","No first session",IF(C78="","No last session",""))))</f>
        <v/>
      </c>
    </row>
    <row r="79" customFormat="false" ht="15" hidden="false" customHeight="false" outlineLevel="0" collapsed="false">
      <c r="A79" s="9"/>
      <c r="B79" s="11" t="str">
        <f aca="false">IF(OR($A79="",COUNTIFS(Answers!$A$4:$A$203,$A79,Answers!$B$4:$B$203,"First")=0),"",SUMIFS(Answers!$AA$4:$AA$203,Answers!$A$4:$A$203,$A79,Answers!$B$4:$B$203,"First"))</f>
        <v/>
      </c>
      <c r="C79" s="11" t="str">
        <f aca="false">IF(OR($A79="",COUNTIFS(Answers!$A$4:$A$203,$A79,Answers!$B$4:$B$203,"Last")=0),"",SUMIFS(Answers!$AA$4:$AA$203,Answers!$A$4:$A$203,$A79,Answers!$B$4:$B$203,"Last"))</f>
        <v/>
      </c>
      <c r="D79" s="11" t="str">
        <f aca="false">IF(N79=1,C79-B79,"")</f>
        <v/>
      </c>
      <c r="E79" s="19" t="str">
        <f aca="false">IF(OR(N79&lt;&gt;1,B79=16),"",(C79-B79)/(16-B79))</f>
        <v/>
      </c>
      <c r="F79" s="11" t="str">
        <f aca="false">IF(OR($A79="",COUNTIFS(Answers!$A$4:$A$203,$A79,Answers!$B$4:$B$203,"First")=0),"",SUMIFS(Answers!$AB$4:$AB$203,Answers!$A$4:$A$203,$A79,Answers!$B$4:$B$203,"First"))</f>
        <v/>
      </c>
      <c r="G79" s="11" t="str">
        <f aca="false">IF(OR($A79="",COUNTIFS(Answers!$A$4:$A$203,$A79,Answers!$B$4:$B$203,"Last")=0),"",SUMIFS(Answers!$AB$4:$AB$203,Answers!$A$4:$A$203,$A79,Answers!$B$4:$B$203,"Last"))</f>
        <v/>
      </c>
      <c r="H79" s="11" t="str">
        <f aca="false">IF(OR($A79="",COUNTIFS(Answers!$A$4:$A$203,$A79,Answers!$B$4:$B$203,"First")=0),"",SUMIFS(Answers!$AC$4:$AC$203,Answers!$A$4:$A$203,$A79,Answers!$B$4:$B$203,"First"))</f>
        <v/>
      </c>
      <c r="I79" s="11" t="str">
        <f aca="false">IF(OR($A79="",COUNTIFS(Answers!$A$4:$A$203,$A79,Answers!$B$4:$B$203,"Last")=0),"",SUMIFS(Answers!$AC$4:$AC$203,Answers!$A$4:$A$203,$A79,Answers!$B$4:$B$203,"Last"))</f>
        <v/>
      </c>
      <c r="J79" s="12" t="str">
        <f aca="false">IF(OR($A79="",COUNTIFS(Answers!$A$4:$A$203,$A79,Answers!$B$4:$B$203,"First")=0),"",SUMIFS(Answers!$AD$4:$AD$203,Answers!$A$4:$A$203,$A79,Answers!$B$4:$B$203,"First"))</f>
        <v/>
      </c>
      <c r="K79" s="12" t="str">
        <f aca="false">IF(OR($A79="",COUNTIFS(Answers!$A$4:$A$203,$A79,Answers!$B$4:$B$203,"Last")=0),"",SUMIFS(Answers!$AD$4:$AD$203,Answers!$A$4:$A$203,$A79,Answers!$B$4:$B$203,"Last"))</f>
        <v/>
      </c>
      <c r="L79" s="12" t="str">
        <f aca="false">IF(OR($A79="",COUNTIFS(Answers!$A$4:$A$203,$A79,Answers!$B$4:$B$203,"First")=0),"",SUMIFS(Answers!$AE$4:$AE$203,Answers!$A$4:$A$203,$A79,Answers!$B$4:$B$203,"First"))</f>
        <v/>
      </c>
      <c r="M79" s="12" t="str">
        <f aca="false">IF(OR($A79="",COUNTIFS(Answers!$A$4:$A$203,$A79,Answers!$B$4:$B$203,"Last")=0),"",SUMIFS(Answers!$AE$4:$AE$203,Answers!$A$4:$A$203,$A79,Answers!$B$4:$B$203,"Last"))</f>
        <v/>
      </c>
      <c r="N79" s="11" t="n">
        <f aca="false">IF(AND(B79&lt;&gt;"",C79&lt;&gt;""),1,0)</f>
        <v>0</v>
      </c>
      <c r="O79" s="11" t="str">
        <f aca="false">IF($A79="","",IF(MAX(COUNTIFS(Answers!$A$4:$A$203,$A79,Answers!$B$4:$B$203,"First"),COUNTIFS(Answers!$A$4:$A$203,$A79,Answers!$B$4:$B$203,"Last"))&gt;1,"Two rows for one session: keep one",IF(B79="","No first session",IF(C79="","No last session",""))))</f>
        <v/>
      </c>
    </row>
    <row r="80" customFormat="false" ht="15" hidden="false" customHeight="false" outlineLevel="0" collapsed="false">
      <c r="A80" s="9"/>
      <c r="B80" s="11" t="str">
        <f aca="false">IF(OR($A80="",COUNTIFS(Answers!$A$4:$A$203,$A80,Answers!$B$4:$B$203,"First")=0),"",SUMIFS(Answers!$AA$4:$AA$203,Answers!$A$4:$A$203,$A80,Answers!$B$4:$B$203,"First"))</f>
        <v/>
      </c>
      <c r="C80" s="11" t="str">
        <f aca="false">IF(OR($A80="",COUNTIFS(Answers!$A$4:$A$203,$A80,Answers!$B$4:$B$203,"Last")=0),"",SUMIFS(Answers!$AA$4:$AA$203,Answers!$A$4:$A$203,$A80,Answers!$B$4:$B$203,"Last"))</f>
        <v/>
      </c>
      <c r="D80" s="11" t="str">
        <f aca="false">IF(N80=1,C80-B80,"")</f>
        <v/>
      </c>
      <c r="E80" s="19" t="str">
        <f aca="false">IF(OR(N80&lt;&gt;1,B80=16),"",(C80-B80)/(16-B80))</f>
        <v/>
      </c>
      <c r="F80" s="11" t="str">
        <f aca="false">IF(OR($A80="",COUNTIFS(Answers!$A$4:$A$203,$A80,Answers!$B$4:$B$203,"First")=0),"",SUMIFS(Answers!$AB$4:$AB$203,Answers!$A$4:$A$203,$A80,Answers!$B$4:$B$203,"First"))</f>
        <v/>
      </c>
      <c r="G80" s="11" t="str">
        <f aca="false">IF(OR($A80="",COUNTIFS(Answers!$A$4:$A$203,$A80,Answers!$B$4:$B$203,"Last")=0),"",SUMIFS(Answers!$AB$4:$AB$203,Answers!$A$4:$A$203,$A80,Answers!$B$4:$B$203,"Last"))</f>
        <v/>
      </c>
      <c r="H80" s="11" t="str">
        <f aca="false">IF(OR($A80="",COUNTIFS(Answers!$A$4:$A$203,$A80,Answers!$B$4:$B$203,"First")=0),"",SUMIFS(Answers!$AC$4:$AC$203,Answers!$A$4:$A$203,$A80,Answers!$B$4:$B$203,"First"))</f>
        <v/>
      </c>
      <c r="I80" s="11" t="str">
        <f aca="false">IF(OR($A80="",COUNTIFS(Answers!$A$4:$A$203,$A80,Answers!$B$4:$B$203,"Last")=0),"",SUMIFS(Answers!$AC$4:$AC$203,Answers!$A$4:$A$203,$A80,Answers!$B$4:$B$203,"Last"))</f>
        <v/>
      </c>
      <c r="J80" s="12" t="str">
        <f aca="false">IF(OR($A80="",COUNTIFS(Answers!$A$4:$A$203,$A80,Answers!$B$4:$B$203,"First")=0),"",SUMIFS(Answers!$AD$4:$AD$203,Answers!$A$4:$A$203,$A80,Answers!$B$4:$B$203,"First"))</f>
        <v/>
      </c>
      <c r="K80" s="12" t="str">
        <f aca="false">IF(OR($A80="",COUNTIFS(Answers!$A$4:$A$203,$A80,Answers!$B$4:$B$203,"Last")=0),"",SUMIFS(Answers!$AD$4:$AD$203,Answers!$A$4:$A$203,$A80,Answers!$B$4:$B$203,"Last"))</f>
        <v/>
      </c>
      <c r="L80" s="12" t="str">
        <f aca="false">IF(OR($A80="",COUNTIFS(Answers!$A$4:$A$203,$A80,Answers!$B$4:$B$203,"First")=0),"",SUMIFS(Answers!$AE$4:$AE$203,Answers!$A$4:$A$203,$A80,Answers!$B$4:$B$203,"First"))</f>
        <v/>
      </c>
      <c r="M80" s="12" t="str">
        <f aca="false">IF(OR($A80="",COUNTIFS(Answers!$A$4:$A$203,$A80,Answers!$B$4:$B$203,"Last")=0),"",SUMIFS(Answers!$AE$4:$AE$203,Answers!$A$4:$A$203,$A80,Answers!$B$4:$B$203,"Last"))</f>
        <v/>
      </c>
      <c r="N80" s="11" t="n">
        <f aca="false">IF(AND(B80&lt;&gt;"",C80&lt;&gt;""),1,0)</f>
        <v>0</v>
      </c>
      <c r="O80" s="11" t="str">
        <f aca="false">IF($A80="","",IF(MAX(COUNTIFS(Answers!$A$4:$A$203,$A80,Answers!$B$4:$B$203,"First"),COUNTIFS(Answers!$A$4:$A$203,$A80,Answers!$B$4:$B$203,"Last"))&gt;1,"Two rows for one session: keep one",IF(B80="","No first session",IF(C80="","No last session",""))))</f>
        <v/>
      </c>
    </row>
    <row r="81" customFormat="false" ht="15" hidden="false" customHeight="false" outlineLevel="0" collapsed="false">
      <c r="A81" s="9"/>
      <c r="B81" s="11" t="str">
        <f aca="false">IF(OR($A81="",COUNTIFS(Answers!$A$4:$A$203,$A81,Answers!$B$4:$B$203,"First")=0),"",SUMIFS(Answers!$AA$4:$AA$203,Answers!$A$4:$A$203,$A81,Answers!$B$4:$B$203,"First"))</f>
        <v/>
      </c>
      <c r="C81" s="11" t="str">
        <f aca="false">IF(OR($A81="",COUNTIFS(Answers!$A$4:$A$203,$A81,Answers!$B$4:$B$203,"Last")=0),"",SUMIFS(Answers!$AA$4:$AA$203,Answers!$A$4:$A$203,$A81,Answers!$B$4:$B$203,"Last"))</f>
        <v/>
      </c>
      <c r="D81" s="11" t="str">
        <f aca="false">IF(N81=1,C81-B81,"")</f>
        <v/>
      </c>
      <c r="E81" s="19" t="str">
        <f aca="false">IF(OR(N81&lt;&gt;1,B81=16),"",(C81-B81)/(16-B81))</f>
        <v/>
      </c>
      <c r="F81" s="11" t="str">
        <f aca="false">IF(OR($A81="",COUNTIFS(Answers!$A$4:$A$203,$A81,Answers!$B$4:$B$203,"First")=0),"",SUMIFS(Answers!$AB$4:$AB$203,Answers!$A$4:$A$203,$A81,Answers!$B$4:$B$203,"First"))</f>
        <v/>
      </c>
      <c r="G81" s="11" t="str">
        <f aca="false">IF(OR($A81="",COUNTIFS(Answers!$A$4:$A$203,$A81,Answers!$B$4:$B$203,"Last")=0),"",SUMIFS(Answers!$AB$4:$AB$203,Answers!$A$4:$A$203,$A81,Answers!$B$4:$B$203,"Last"))</f>
        <v/>
      </c>
      <c r="H81" s="11" t="str">
        <f aca="false">IF(OR($A81="",COUNTIFS(Answers!$A$4:$A$203,$A81,Answers!$B$4:$B$203,"First")=0),"",SUMIFS(Answers!$AC$4:$AC$203,Answers!$A$4:$A$203,$A81,Answers!$B$4:$B$203,"First"))</f>
        <v/>
      </c>
      <c r="I81" s="11" t="str">
        <f aca="false">IF(OR($A81="",COUNTIFS(Answers!$A$4:$A$203,$A81,Answers!$B$4:$B$203,"Last")=0),"",SUMIFS(Answers!$AC$4:$AC$203,Answers!$A$4:$A$203,$A81,Answers!$B$4:$B$203,"Last"))</f>
        <v/>
      </c>
      <c r="J81" s="12" t="str">
        <f aca="false">IF(OR($A81="",COUNTIFS(Answers!$A$4:$A$203,$A81,Answers!$B$4:$B$203,"First")=0),"",SUMIFS(Answers!$AD$4:$AD$203,Answers!$A$4:$A$203,$A81,Answers!$B$4:$B$203,"First"))</f>
        <v/>
      </c>
      <c r="K81" s="12" t="str">
        <f aca="false">IF(OR($A81="",COUNTIFS(Answers!$A$4:$A$203,$A81,Answers!$B$4:$B$203,"Last")=0),"",SUMIFS(Answers!$AD$4:$AD$203,Answers!$A$4:$A$203,$A81,Answers!$B$4:$B$203,"Last"))</f>
        <v/>
      </c>
      <c r="L81" s="12" t="str">
        <f aca="false">IF(OR($A81="",COUNTIFS(Answers!$A$4:$A$203,$A81,Answers!$B$4:$B$203,"First")=0),"",SUMIFS(Answers!$AE$4:$AE$203,Answers!$A$4:$A$203,$A81,Answers!$B$4:$B$203,"First"))</f>
        <v/>
      </c>
      <c r="M81" s="12" t="str">
        <f aca="false">IF(OR($A81="",COUNTIFS(Answers!$A$4:$A$203,$A81,Answers!$B$4:$B$203,"Last")=0),"",SUMIFS(Answers!$AE$4:$AE$203,Answers!$A$4:$A$203,$A81,Answers!$B$4:$B$203,"Last"))</f>
        <v/>
      </c>
      <c r="N81" s="11" t="n">
        <f aca="false">IF(AND(B81&lt;&gt;"",C81&lt;&gt;""),1,0)</f>
        <v>0</v>
      </c>
      <c r="O81" s="11" t="str">
        <f aca="false">IF($A81="","",IF(MAX(COUNTIFS(Answers!$A$4:$A$203,$A81,Answers!$B$4:$B$203,"First"),COUNTIFS(Answers!$A$4:$A$203,$A81,Answers!$B$4:$B$203,"Last"))&gt;1,"Two rows for one session: keep one",IF(B81="","No first session",IF(C81="","No last session",""))))</f>
        <v/>
      </c>
    </row>
    <row r="82" customFormat="false" ht="15" hidden="false" customHeight="false" outlineLevel="0" collapsed="false">
      <c r="A82" s="9"/>
      <c r="B82" s="11" t="str">
        <f aca="false">IF(OR($A82="",COUNTIFS(Answers!$A$4:$A$203,$A82,Answers!$B$4:$B$203,"First")=0),"",SUMIFS(Answers!$AA$4:$AA$203,Answers!$A$4:$A$203,$A82,Answers!$B$4:$B$203,"First"))</f>
        <v/>
      </c>
      <c r="C82" s="11" t="str">
        <f aca="false">IF(OR($A82="",COUNTIFS(Answers!$A$4:$A$203,$A82,Answers!$B$4:$B$203,"Last")=0),"",SUMIFS(Answers!$AA$4:$AA$203,Answers!$A$4:$A$203,$A82,Answers!$B$4:$B$203,"Last"))</f>
        <v/>
      </c>
      <c r="D82" s="11" t="str">
        <f aca="false">IF(N82=1,C82-B82,"")</f>
        <v/>
      </c>
      <c r="E82" s="19" t="str">
        <f aca="false">IF(OR(N82&lt;&gt;1,B82=16),"",(C82-B82)/(16-B82))</f>
        <v/>
      </c>
      <c r="F82" s="11" t="str">
        <f aca="false">IF(OR($A82="",COUNTIFS(Answers!$A$4:$A$203,$A82,Answers!$B$4:$B$203,"First")=0),"",SUMIFS(Answers!$AB$4:$AB$203,Answers!$A$4:$A$203,$A82,Answers!$B$4:$B$203,"First"))</f>
        <v/>
      </c>
      <c r="G82" s="11" t="str">
        <f aca="false">IF(OR($A82="",COUNTIFS(Answers!$A$4:$A$203,$A82,Answers!$B$4:$B$203,"Last")=0),"",SUMIFS(Answers!$AB$4:$AB$203,Answers!$A$4:$A$203,$A82,Answers!$B$4:$B$203,"Last"))</f>
        <v/>
      </c>
      <c r="H82" s="11" t="str">
        <f aca="false">IF(OR($A82="",COUNTIFS(Answers!$A$4:$A$203,$A82,Answers!$B$4:$B$203,"First")=0),"",SUMIFS(Answers!$AC$4:$AC$203,Answers!$A$4:$A$203,$A82,Answers!$B$4:$B$203,"First"))</f>
        <v/>
      </c>
      <c r="I82" s="11" t="str">
        <f aca="false">IF(OR($A82="",COUNTIFS(Answers!$A$4:$A$203,$A82,Answers!$B$4:$B$203,"Last")=0),"",SUMIFS(Answers!$AC$4:$AC$203,Answers!$A$4:$A$203,$A82,Answers!$B$4:$B$203,"Last"))</f>
        <v/>
      </c>
      <c r="J82" s="12" t="str">
        <f aca="false">IF(OR($A82="",COUNTIFS(Answers!$A$4:$A$203,$A82,Answers!$B$4:$B$203,"First")=0),"",SUMIFS(Answers!$AD$4:$AD$203,Answers!$A$4:$A$203,$A82,Answers!$B$4:$B$203,"First"))</f>
        <v/>
      </c>
      <c r="K82" s="12" t="str">
        <f aca="false">IF(OR($A82="",COUNTIFS(Answers!$A$4:$A$203,$A82,Answers!$B$4:$B$203,"Last")=0),"",SUMIFS(Answers!$AD$4:$AD$203,Answers!$A$4:$A$203,$A82,Answers!$B$4:$B$203,"Last"))</f>
        <v/>
      </c>
      <c r="L82" s="12" t="str">
        <f aca="false">IF(OR($A82="",COUNTIFS(Answers!$A$4:$A$203,$A82,Answers!$B$4:$B$203,"First")=0),"",SUMIFS(Answers!$AE$4:$AE$203,Answers!$A$4:$A$203,$A82,Answers!$B$4:$B$203,"First"))</f>
        <v/>
      </c>
      <c r="M82" s="12" t="str">
        <f aca="false">IF(OR($A82="",COUNTIFS(Answers!$A$4:$A$203,$A82,Answers!$B$4:$B$203,"Last")=0),"",SUMIFS(Answers!$AE$4:$AE$203,Answers!$A$4:$A$203,$A82,Answers!$B$4:$B$203,"Last"))</f>
        <v/>
      </c>
      <c r="N82" s="11" t="n">
        <f aca="false">IF(AND(B82&lt;&gt;"",C82&lt;&gt;""),1,0)</f>
        <v>0</v>
      </c>
      <c r="O82" s="11" t="str">
        <f aca="false">IF($A82="","",IF(MAX(COUNTIFS(Answers!$A$4:$A$203,$A82,Answers!$B$4:$B$203,"First"),COUNTIFS(Answers!$A$4:$A$203,$A82,Answers!$B$4:$B$203,"Last"))&gt;1,"Two rows for one session: keep one",IF(B82="","No first session",IF(C82="","No last session",""))))</f>
        <v/>
      </c>
    </row>
    <row r="83" customFormat="false" ht="15" hidden="false" customHeight="false" outlineLevel="0" collapsed="false">
      <c r="A83" s="9"/>
      <c r="B83" s="11" t="str">
        <f aca="false">IF(OR($A83="",COUNTIFS(Answers!$A$4:$A$203,$A83,Answers!$B$4:$B$203,"First")=0),"",SUMIFS(Answers!$AA$4:$AA$203,Answers!$A$4:$A$203,$A83,Answers!$B$4:$B$203,"First"))</f>
        <v/>
      </c>
      <c r="C83" s="11" t="str">
        <f aca="false">IF(OR($A83="",COUNTIFS(Answers!$A$4:$A$203,$A83,Answers!$B$4:$B$203,"Last")=0),"",SUMIFS(Answers!$AA$4:$AA$203,Answers!$A$4:$A$203,$A83,Answers!$B$4:$B$203,"Last"))</f>
        <v/>
      </c>
      <c r="D83" s="11" t="str">
        <f aca="false">IF(N83=1,C83-B83,"")</f>
        <v/>
      </c>
      <c r="E83" s="19" t="str">
        <f aca="false">IF(OR(N83&lt;&gt;1,B83=16),"",(C83-B83)/(16-B83))</f>
        <v/>
      </c>
      <c r="F83" s="11" t="str">
        <f aca="false">IF(OR($A83="",COUNTIFS(Answers!$A$4:$A$203,$A83,Answers!$B$4:$B$203,"First")=0),"",SUMIFS(Answers!$AB$4:$AB$203,Answers!$A$4:$A$203,$A83,Answers!$B$4:$B$203,"First"))</f>
        <v/>
      </c>
      <c r="G83" s="11" t="str">
        <f aca="false">IF(OR($A83="",COUNTIFS(Answers!$A$4:$A$203,$A83,Answers!$B$4:$B$203,"Last")=0),"",SUMIFS(Answers!$AB$4:$AB$203,Answers!$A$4:$A$203,$A83,Answers!$B$4:$B$203,"Last"))</f>
        <v/>
      </c>
      <c r="H83" s="11" t="str">
        <f aca="false">IF(OR($A83="",COUNTIFS(Answers!$A$4:$A$203,$A83,Answers!$B$4:$B$203,"First")=0),"",SUMIFS(Answers!$AC$4:$AC$203,Answers!$A$4:$A$203,$A83,Answers!$B$4:$B$203,"First"))</f>
        <v/>
      </c>
      <c r="I83" s="11" t="str">
        <f aca="false">IF(OR($A83="",COUNTIFS(Answers!$A$4:$A$203,$A83,Answers!$B$4:$B$203,"Last")=0),"",SUMIFS(Answers!$AC$4:$AC$203,Answers!$A$4:$A$203,$A83,Answers!$B$4:$B$203,"Last"))</f>
        <v/>
      </c>
      <c r="J83" s="12" t="str">
        <f aca="false">IF(OR($A83="",COUNTIFS(Answers!$A$4:$A$203,$A83,Answers!$B$4:$B$203,"First")=0),"",SUMIFS(Answers!$AD$4:$AD$203,Answers!$A$4:$A$203,$A83,Answers!$B$4:$B$203,"First"))</f>
        <v/>
      </c>
      <c r="K83" s="12" t="str">
        <f aca="false">IF(OR($A83="",COUNTIFS(Answers!$A$4:$A$203,$A83,Answers!$B$4:$B$203,"Last")=0),"",SUMIFS(Answers!$AD$4:$AD$203,Answers!$A$4:$A$203,$A83,Answers!$B$4:$B$203,"Last"))</f>
        <v/>
      </c>
      <c r="L83" s="12" t="str">
        <f aca="false">IF(OR($A83="",COUNTIFS(Answers!$A$4:$A$203,$A83,Answers!$B$4:$B$203,"First")=0),"",SUMIFS(Answers!$AE$4:$AE$203,Answers!$A$4:$A$203,$A83,Answers!$B$4:$B$203,"First"))</f>
        <v/>
      </c>
      <c r="M83" s="12" t="str">
        <f aca="false">IF(OR($A83="",COUNTIFS(Answers!$A$4:$A$203,$A83,Answers!$B$4:$B$203,"Last")=0),"",SUMIFS(Answers!$AE$4:$AE$203,Answers!$A$4:$A$203,$A83,Answers!$B$4:$B$203,"Last"))</f>
        <v/>
      </c>
      <c r="N83" s="11" t="n">
        <f aca="false">IF(AND(B83&lt;&gt;"",C83&lt;&gt;""),1,0)</f>
        <v>0</v>
      </c>
      <c r="O83" s="11" t="str">
        <f aca="false">IF($A83="","",IF(MAX(COUNTIFS(Answers!$A$4:$A$203,$A83,Answers!$B$4:$B$203,"First"),COUNTIFS(Answers!$A$4:$A$203,$A83,Answers!$B$4:$B$203,"Last"))&gt;1,"Two rows for one session: keep one",IF(B83="","No first session",IF(C83="","No last session",""))))</f>
        <v/>
      </c>
    </row>
    <row r="84" customFormat="false" ht="15" hidden="false" customHeight="false" outlineLevel="0" collapsed="false">
      <c r="A84" s="9"/>
      <c r="B84" s="11" t="str">
        <f aca="false">IF(OR($A84="",COUNTIFS(Answers!$A$4:$A$203,$A84,Answers!$B$4:$B$203,"First")=0),"",SUMIFS(Answers!$AA$4:$AA$203,Answers!$A$4:$A$203,$A84,Answers!$B$4:$B$203,"First"))</f>
        <v/>
      </c>
      <c r="C84" s="11" t="str">
        <f aca="false">IF(OR($A84="",COUNTIFS(Answers!$A$4:$A$203,$A84,Answers!$B$4:$B$203,"Last")=0),"",SUMIFS(Answers!$AA$4:$AA$203,Answers!$A$4:$A$203,$A84,Answers!$B$4:$B$203,"Last"))</f>
        <v/>
      </c>
      <c r="D84" s="11" t="str">
        <f aca="false">IF(N84=1,C84-B84,"")</f>
        <v/>
      </c>
      <c r="E84" s="19" t="str">
        <f aca="false">IF(OR(N84&lt;&gt;1,B84=16),"",(C84-B84)/(16-B84))</f>
        <v/>
      </c>
      <c r="F84" s="11" t="str">
        <f aca="false">IF(OR($A84="",COUNTIFS(Answers!$A$4:$A$203,$A84,Answers!$B$4:$B$203,"First")=0),"",SUMIFS(Answers!$AB$4:$AB$203,Answers!$A$4:$A$203,$A84,Answers!$B$4:$B$203,"First"))</f>
        <v/>
      </c>
      <c r="G84" s="11" t="str">
        <f aca="false">IF(OR($A84="",COUNTIFS(Answers!$A$4:$A$203,$A84,Answers!$B$4:$B$203,"Last")=0),"",SUMIFS(Answers!$AB$4:$AB$203,Answers!$A$4:$A$203,$A84,Answers!$B$4:$B$203,"Last"))</f>
        <v/>
      </c>
      <c r="H84" s="11" t="str">
        <f aca="false">IF(OR($A84="",COUNTIFS(Answers!$A$4:$A$203,$A84,Answers!$B$4:$B$203,"First")=0),"",SUMIFS(Answers!$AC$4:$AC$203,Answers!$A$4:$A$203,$A84,Answers!$B$4:$B$203,"First"))</f>
        <v/>
      </c>
      <c r="I84" s="11" t="str">
        <f aca="false">IF(OR($A84="",COUNTIFS(Answers!$A$4:$A$203,$A84,Answers!$B$4:$B$203,"Last")=0),"",SUMIFS(Answers!$AC$4:$AC$203,Answers!$A$4:$A$203,$A84,Answers!$B$4:$B$203,"Last"))</f>
        <v/>
      </c>
      <c r="J84" s="12" t="str">
        <f aca="false">IF(OR($A84="",COUNTIFS(Answers!$A$4:$A$203,$A84,Answers!$B$4:$B$203,"First")=0),"",SUMIFS(Answers!$AD$4:$AD$203,Answers!$A$4:$A$203,$A84,Answers!$B$4:$B$203,"First"))</f>
        <v/>
      </c>
      <c r="K84" s="12" t="str">
        <f aca="false">IF(OR($A84="",COUNTIFS(Answers!$A$4:$A$203,$A84,Answers!$B$4:$B$203,"Last")=0),"",SUMIFS(Answers!$AD$4:$AD$203,Answers!$A$4:$A$203,$A84,Answers!$B$4:$B$203,"Last"))</f>
        <v/>
      </c>
      <c r="L84" s="12" t="str">
        <f aca="false">IF(OR($A84="",COUNTIFS(Answers!$A$4:$A$203,$A84,Answers!$B$4:$B$203,"First")=0),"",SUMIFS(Answers!$AE$4:$AE$203,Answers!$A$4:$A$203,$A84,Answers!$B$4:$B$203,"First"))</f>
        <v/>
      </c>
      <c r="M84" s="12" t="str">
        <f aca="false">IF(OR($A84="",COUNTIFS(Answers!$A$4:$A$203,$A84,Answers!$B$4:$B$203,"Last")=0),"",SUMIFS(Answers!$AE$4:$AE$203,Answers!$A$4:$A$203,$A84,Answers!$B$4:$B$203,"Last"))</f>
        <v/>
      </c>
      <c r="N84" s="11" t="n">
        <f aca="false">IF(AND(B84&lt;&gt;"",C84&lt;&gt;""),1,0)</f>
        <v>0</v>
      </c>
      <c r="O84" s="11" t="str">
        <f aca="false">IF($A84="","",IF(MAX(COUNTIFS(Answers!$A$4:$A$203,$A84,Answers!$B$4:$B$203,"First"),COUNTIFS(Answers!$A$4:$A$203,$A84,Answers!$B$4:$B$203,"Last"))&gt;1,"Two rows for one session: keep one",IF(B84="","No first session",IF(C84="","No last session",""))))</f>
        <v/>
      </c>
    </row>
    <row r="85" customFormat="false" ht="15" hidden="false" customHeight="false" outlineLevel="0" collapsed="false">
      <c r="A85" s="9"/>
      <c r="B85" s="11" t="str">
        <f aca="false">IF(OR($A85="",COUNTIFS(Answers!$A$4:$A$203,$A85,Answers!$B$4:$B$203,"First")=0),"",SUMIFS(Answers!$AA$4:$AA$203,Answers!$A$4:$A$203,$A85,Answers!$B$4:$B$203,"First"))</f>
        <v/>
      </c>
      <c r="C85" s="11" t="str">
        <f aca="false">IF(OR($A85="",COUNTIFS(Answers!$A$4:$A$203,$A85,Answers!$B$4:$B$203,"Last")=0),"",SUMIFS(Answers!$AA$4:$AA$203,Answers!$A$4:$A$203,$A85,Answers!$B$4:$B$203,"Last"))</f>
        <v/>
      </c>
      <c r="D85" s="11" t="str">
        <f aca="false">IF(N85=1,C85-B85,"")</f>
        <v/>
      </c>
      <c r="E85" s="19" t="str">
        <f aca="false">IF(OR(N85&lt;&gt;1,B85=16),"",(C85-B85)/(16-B85))</f>
        <v/>
      </c>
      <c r="F85" s="11" t="str">
        <f aca="false">IF(OR($A85="",COUNTIFS(Answers!$A$4:$A$203,$A85,Answers!$B$4:$B$203,"First")=0),"",SUMIFS(Answers!$AB$4:$AB$203,Answers!$A$4:$A$203,$A85,Answers!$B$4:$B$203,"First"))</f>
        <v/>
      </c>
      <c r="G85" s="11" t="str">
        <f aca="false">IF(OR($A85="",COUNTIFS(Answers!$A$4:$A$203,$A85,Answers!$B$4:$B$203,"Last")=0),"",SUMIFS(Answers!$AB$4:$AB$203,Answers!$A$4:$A$203,$A85,Answers!$B$4:$B$203,"Last"))</f>
        <v/>
      </c>
      <c r="H85" s="11" t="str">
        <f aca="false">IF(OR($A85="",COUNTIFS(Answers!$A$4:$A$203,$A85,Answers!$B$4:$B$203,"First")=0),"",SUMIFS(Answers!$AC$4:$AC$203,Answers!$A$4:$A$203,$A85,Answers!$B$4:$B$203,"First"))</f>
        <v/>
      </c>
      <c r="I85" s="11" t="str">
        <f aca="false">IF(OR($A85="",COUNTIFS(Answers!$A$4:$A$203,$A85,Answers!$B$4:$B$203,"Last")=0),"",SUMIFS(Answers!$AC$4:$AC$203,Answers!$A$4:$A$203,$A85,Answers!$B$4:$B$203,"Last"))</f>
        <v/>
      </c>
      <c r="J85" s="12" t="str">
        <f aca="false">IF(OR($A85="",COUNTIFS(Answers!$A$4:$A$203,$A85,Answers!$B$4:$B$203,"First")=0),"",SUMIFS(Answers!$AD$4:$AD$203,Answers!$A$4:$A$203,$A85,Answers!$B$4:$B$203,"First"))</f>
        <v/>
      </c>
      <c r="K85" s="12" t="str">
        <f aca="false">IF(OR($A85="",COUNTIFS(Answers!$A$4:$A$203,$A85,Answers!$B$4:$B$203,"Last")=0),"",SUMIFS(Answers!$AD$4:$AD$203,Answers!$A$4:$A$203,$A85,Answers!$B$4:$B$203,"Last"))</f>
        <v/>
      </c>
      <c r="L85" s="12" t="str">
        <f aca="false">IF(OR($A85="",COUNTIFS(Answers!$A$4:$A$203,$A85,Answers!$B$4:$B$203,"First")=0),"",SUMIFS(Answers!$AE$4:$AE$203,Answers!$A$4:$A$203,$A85,Answers!$B$4:$B$203,"First"))</f>
        <v/>
      </c>
      <c r="M85" s="12" t="str">
        <f aca="false">IF(OR($A85="",COUNTIFS(Answers!$A$4:$A$203,$A85,Answers!$B$4:$B$203,"Last")=0),"",SUMIFS(Answers!$AE$4:$AE$203,Answers!$A$4:$A$203,$A85,Answers!$B$4:$B$203,"Last"))</f>
        <v/>
      </c>
      <c r="N85" s="11" t="n">
        <f aca="false">IF(AND(B85&lt;&gt;"",C85&lt;&gt;""),1,0)</f>
        <v>0</v>
      </c>
      <c r="O85" s="11" t="str">
        <f aca="false">IF($A85="","",IF(MAX(COUNTIFS(Answers!$A$4:$A$203,$A85,Answers!$B$4:$B$203,"First"),COUNTIFS(Answers!$A$4:$A$203,$A85,Answers!$B$4:$B$203,"Last"))&gt;1,"Two rows for one session: keep one",IF(B85="","No first session",IF(C85="","No last session",""))))</f>
        <v/>
      </c>
    </row>
    <row r="86" customFormat="false" ht="15" hidden="false" customHeight="false" outlineLevel="0" collapsed="false">
      <c r="A86" s="9"/>
      <c r="B86" s="11" t="str">
        <f aca="false">IF(OR($A86="",COUNTIFS(Answers!$A$4:$A$203,$A86,Answers!$B$4:$B$203,"First")=0),"",SUMIFS(Answers!$AA$4:$AA$203,Answers!$A$4:$A$203,$A86,Answers!$B$4:$B$203,"First"))</f>
        <v/>
      </c>
      <c r="C86" s="11" t="str">
        <f aca="false">IF(OR($A86="",COUNTIFS(Answers!$A$4:$A$203,$A86,Answers!$B$4:$B$203,"Last")=0),"",SUMIFS(Answers!$AA$4:$AA$203,Answers!$A$4:$A$203,$A86,Answers!$B$4:$B$203,"Last"))</f>
        <v/>
      </c>
      <c r="D86" s="11" t="str">
        <f aca="false">IF(N86=1,C86-B86,"")</f>
        <v/>
      </c>
      <c r="E86" s="19" t="str">
        <f aca="false">IF(OR(N86&lt;&gt;1,B86=16),"",(C86-B86)/(16-B86))</f>
        <v/>
      </c>
      <c r="F86" s="11" t="str">
        <f aca="false">IF(OR($A86="",COUNTIFS(Answers!$A$4:$A$203,$A86,Answers!$B$4:$B$203,"First")=0),"",SUMIFS(Answers!$AB$4:$AB$203,Answers!$A$4:$A$203,$A86,Answers!$B$4:$B$203,"First"))</f>
        <v/>
      </c>
      <c r="G86" s="11" t="str">
        <f aca="false">IF(OR($A86="",COUNTIFS(Answers!$A$4:$A$203,$A86,Answers!$B$4:$B$203,"Last")=0),"",SUMIFS(Answers!$AB$4:$AB$203,Answers!$A$4:$A$203,$A86,Answers!$B$4:$B$203,"Last"))</f>
        <v/>
      </c>
      <c r="H86" s="11" t="str">
        <f aca="false">IF(OR($A86="",COUNTIFS(Answers!$A$4:$A$203,$A86,Answers!$B$4:$B$203,"First")=0),"",SUMIFS(Answers!$AC$4:$AC$203,Answers!$A$4:$A$203,$A86,Answers!$B$4:$B$203,"First"))</f>
        <v/>
      </c>
      <c r="I86" s="11" t="str">
        <f aca="false">IF(OR($A86="",COUNTIFS(Answers!$A$4:$A$203,$A86,Answers!$B$4:$B$203,"Last")=0),"",SUMIFS(Answers!$AC$4:$AC$203,Answers!$A$4:$A$203,$A86,Answers!$B$4:$B$203,"Last"))</f>
        <v/>
      </c>
      <c r="J86" s="12" t="str">
        <f aca="false">IF(OR($A86="",COUNTIFS(Answers!$A$4:$A$203,$A86,Answers!$B$4:$B$203,"First")=0),"",SUMIFS(Answers!$AD$4:$AD$203,Answers!$A$4:$A$203,$A86,Answers!$B$4:$B$203,"First"))</f>
        <v/>
      </c>
      <c r="K86" s="12" t="str">
        <f aca="false">IF(OR($A86="",COUNTIFS(Answers!$A$4:$A$203,$A86,Answers!$B$4:$B$203,"Last")=0),"",SUMIFS(Answers!$AD$4:$AD$203,Answers!$A$4:$A$203,$A86,Answers!$B$4:$B$203,"Last"))</f>
        <v/>
      </c>
      <c r="L86" s="12" t="str">
        <f aca="false">IF(OR($A86="",COUNTIFS(Answers!$A$4:$A$203,$A86,Answers!$B$4:$B$203,"First")=0),"",SUMIFS(Answers!$AE$4:$AE$203,Answers!$A$4:$A$203,$A86,Answers!$B$4:$B$203,"First"))</f>
        <v/>
      </c>
      <c r="M86" s="12" t="str">
        <f aca="false">IF(OR($A86="",COUNTIFS(Answers!$A$4:$A$203,$A86,Answers!$B$4:$B$203,"Last")=0),"",SUMIFS(Answers!$AE$4:$AE$203,Answers!$A$4:$A$203,$A86,Answers!$B$4:$B$203,"Last"))</f>
        <v/>
      </c>
      <c r="N86" s="11" t="n">
        <f aca="false">IF(AND(B86&lt;&gt;"",C86&lt;&gt;""),1,0)</f>
        <v>0</v>
      </c>
      <c r="O86" s="11" t="str">
        <f aca="false">IF($A86="","",IF(MAX(COUNTIFS(Answers!$A$4:$A$203,$A86,Answers!$B$4:$B$203,"First"),COUNTIFS(Answers!$A$4:$A$203,$A86,Answers!$B$4:$B$203,"Last"))&gt;1,"Two rows for one session: keep one",IF(B86="","No first session",IF(C86="","No last session",""))))</f>
        <v/>
      </c>
    </row>
    <row r="87" customFormat="false" ht="15" hidden="false" customHeight="false" outlineLevel="0" collapsed="false">
      <c r="A87" s="9"/>
      <c r="B87" s="11" t="str">
        <f aca="false">IF(OR($A87="",COUNTIFS(Answers!$A$4:$A$203,$A87,Answers!$B$4:$B$203,"First")=0),"",SUMIFS(Answers!$AA$4:$AA$203,Answers!$A$4:$A$203,$A87,Answers!$B$4:$B$203,"First"))</f>
        <v/>
      </c>
      <c r="C87" s="11" t="str">
        <f aca="false">IF(OR($A87="",COUNTIFS(Answers!$A$4:$A$203,$A87,Answers!$B$4:$B$203,"Last")=0),"",SUMIFS(Answers!$AA$4:$AA$203,Answers!$A$4:$A$203,$A87,Answers!$B$4:$B$203,"Last"))</f>
        <v/>
      </c>
      <c r="D87" s="11" t="str">
        <f aca="false">IF(N87=1,C87-B87,"")</f>
        <v/>
      </c>
      <c r="E87" s="19" t="str">
        <f aca="false">IF(OR(N87&lt;&gt;1,B87=16),"",(C87-B87)/(16-B87))</f>
        <v/>
      </c>
      <c r="F87" s="11" t="str">
        <f aca="false">IF(OR($A87="",COUNTIFS(Answers!$A$4:$A$203,$A87,Answers!$B$4:$B$203,"First")=0),"",SUMIFS(Answers!$AB$4:$AB$203,Answers!$A$4:$A$203,$A87,Answers!$B$4:$B$203,"First"))</f>
        <v/>
      </c>
      <c r="G87" s="11" t="str">
        <f aca="false">IF(OR($A87="",COUNTIFS(Answers!$A$4:$A$203,$A87,Answers!$B$4:$B$203,"Last")=0),"",SUMIFS(Answers!$AB$4:$AB$203,Answers!$A$4:$A$203,$A87,Answers!$B$4:$B$203,"Last"))</f>
        <v/>
      </c>
      <c r="H87" s="11" t="str">
        <f aca="false">IF(OR($A87="",COUNTIFS(Answers!$A$4:$A$203,$A87,Answers!$B$4:$B$203,"First")=0),"",SUMIFS(Answers!$AC$4:$AC$203,Answers!$A$4:$A$203,$A87,Answers!$B$4:$B$203,"First"))</f>
        <v/>
      </c>
      <c r="I87" s="11" t="str">
        <f aca="false">IF(OR($A87="",COUNTIFS(Answers!$A$4:$A$203,$A87,Answers!$B$4:$B$203,"Last")=0),"",SUMIFS(Answers!$AC$4:$AC$203,Answers!$A$4:$A$203,$A87,Answers!$B$4:$B$203,"Last"))</f>
        <v/>
      </c>
      <c r="J87" s="12" t="str">
        <f aca="false">IF(OR($A87="",COUNTIFS(Answers!$A$4:$A$203,$A87,Answers!$B$4:$B$203,"First")=0),"",SUMIFS(Answers!$AD$4:$AD$203,Answers!$A$4:$A$203,$A87,Answers!$B$4:$B$203,"First"))</f>
        <v/>
      </c>
      <c r="K87" s="12" t="str">
        <f aca="false">IF(OR($A87="",COUNTIFS(Answers!$A$4:$A$203,$A87,Answers!$B$4:$B$203,"Last")=0),"",SUMIFS(Answers!$AD$4:$AD$203,Answers!$A$4:$A$203,$A87,Answers!$B$4:$B$203,"Last"))</f>
        <v/>
      </c>
      <c r="L87" s="12" t="str">
        <f aca="false">IF(OR($A87="",COUNTIFS(Answers!$A$4:$A$203,$A87,Answers!$B$4:$B$203,"First")=0),"",SUMIFS(Answers!$AE$4:$AE$203,Answers!$A$4:$A$203,$A87,Answers!$B$4:$B$203,"First"))</f>
        <v/>
      </c>
      <c r="M87" s="12" t="str">
        <f aca="false">IF(OR($A87="",COUNTIFS(Answers!$A$4:$A$203,$A87,Answers!$B$4:$B$203,"Last")=0),"",SUMIFS(Answers!$AE$4:$AE$203,Answers!$A$4:$A$203,$A87,Answers!$B$4:$B$203,"Last"))</f>
        <v/>
      </c>
      <c r="N87" s="11" t="n">
        <f aca="false">IF(AND(B87&lt;&gt;"",C87&lt;&gt;""),1,0)</f>
        <v>0</v>
      </c>
      <c r="O87" s="11" t="str">
        <f aca="false">IF($A87="","",IF(MAX(COUNTIFS(Answers!$A$4:$A$203,$A87,Answers!$B$4:$B$203,"First"),COUNTIFS(Answers!$A$4:$A$203,$A87,Answers!$B$4:$B$203,"Last"))&gt;1,"Two rows for one session: keep one",IF(B87="","No first session",IF(C87="","No last session",""))))</f>
        <v/>
      </c>
    </row>
    <row r="88" customFormat="false" ht="15" hidden="false" customHeight="false" outlineLevel="0" collapsed="false">
      <c r="A88" s="9"/>
      <c r="B88" s="11" t="str">
        <f aca="false">IF(OR($A88="",COUNTIFS(Answers!$A$4:$A$203,$A88,Answers!$B$4:$B$203,"First")=0),"",SUMIFS(Answers!$AA$4:$AA$203,Answers!$A$4:$A$203,$A88,Answers!$B$4:$B$203,"First"))</f>
        <v/>
      </c>
      <c r="C88" s="11" t="str">
        <f aca="false">IF(OR($A88="",COUNTIFS(Answers!$A$4:$A$203,$A88,Answers!$B$4:$B$203,"Last")=0),"",SUMIFS(Answers!$AA$4:$AA$203,Answers!$A$4:$A$203,$A88,Answers!$B$4:$B$203,"Last"))</f>
        <v/>
      </c>
      <c r="D88" s="11" t="str">
        <f aca="false">IF(N88=1,C88-B88,"")</f>
        <v/>
      </c>
      <c r="E88" s="19" t="str">
        <f aca="false">IF(OR(N88&lt;&gt;1,B88=16),"",(C88-B88)/(16-B88))</f>
        <v/>
      </c>
      <c r="F88" s="11" t="str">
        <f aca="false">IF(OR($A88="",COUNTIFS(Answers!$A$4:$A$203,$A88,Answers!$B$4:$B$203,"First")=0),"",SUMIFS(Answers!$AB$4:$AB$203,Answers!$A$4:$A$203,$A88,Answers!$B$4:$B$203,"First"))</f>
        <v/>
      </c>
      <c r="G88" s="11" t="str">
        <f aca="false">IF(OR($A88="",COUNTIFS(Answers!$A$4:$A$203,$A88,Answers!$B$4:$B$203,"Last")=0),"",SUMIFS(Answers!$AB$4:$AB$203,Answers!$A$4:$A$203,$A88,Answers!$B$4:$B$203,"Last"))</f>
        <v/>
      </c>
      <c r="H88" s="11" t="str">
        <f aca="false">IF(OR($A88="",COUNTIFS(Answers!$A$4:$A$203,$A88,Answers!$B$4:$B$203,"First")=0),"",SUMIFS(Answers!$AC$4:$AC$203,Answers!$A$4:$A$203,$A88,Answers!$B$4:$B$203,"First"))</f>
        <v/>
      </c>
      <c r="I88" s="11" t="str">
        <f aca="false">IF(OR($A88="",COUNTIFS(Answers!$A$4:$A$203,$A88,Answers!$B$4:$B$203,"Last")=0),"",SUMIFS(Answers!$AC$4:$AC$203,Answers!$A$4:$A$203,$A88,Answers!$B$4:$B$203,"Last"))</f>
        <v/>
      </c>
      <c r="J88" s="12" t="str">
        <f aca="false">IF(OR($A88="",COUNTIFS(Answers!$A$4:$A$203,$A88,Answers!$B$4:$B$203,"First")=0),"",SUMIFS(Answers!$AD$4:$AD$203,Answers!$A$4:$A$203,$A88,Answers!$B$4:$B$203,"First"))</f>
        <v/>
      </c>
      <c r="K88" s="12" t="str">
        <f aca="false">IF(OR($A88="",COUNTIFS(Answers!$A$4:$A$203,$A88,Answers!$B$4:$B$203,"Last")=0),"",SUMIFS(Answers!$AD$4:$AD$203,Answers!$A$4:$A$203,$A88,Answers!$B$4:$B$203,"Last"))</f>
        <v/>
      </c>
      <c r="L88" s="12" t="str">
        <f aca="false">IF(OR($A88="",COUNTIFS(Answers!$A$4:$A$203,$A88,Answers!$B$4:$B$203,"First")=0),"",SUMIFS(Answers!$AE$4:$AE$203,Answers!$A$4:$A$203,$A88,Answers!$B$4:$B$203,"First"))</f>
        <v/>
      </c>
      <c r="M88" s="12" t="str">
        <f aca="false">IF(OR($A88="",COUNTIFS(Answers!$A$4:$A$203,$A88,Answers!$B$4:$B$203,"Last")=0),"",SUMIFS(Answers!$AE$4:$AE$203,Answers!$A$4:$A$203,$A88,Answers!$B$4:$B$203,"Last"))</f>
        <v/>
      </c>
      <c r="N88" s="11" t="n">
        <f aca="false">IF(AND(B88&lt;&gt;"",C88&lt;&gt;""),1,0)</f>
        <v>0</v>
      </c>
      <c r="O88" s="11" t="str">
        <f aca="false">IF($A88="","",IF(MAX(COUNTIFS(Answers!$A$4:$A$203,$A88,Answers!$B$4:$B$203,"First"),COUNTIFS(Answers!$A$4:$A$203,$A88,Answers!$B$4:$B$203,"Last"))&gt;1,"Two rows for one session: keep one",IF(B88="","No first session",IF(C88="","No last session",""))))</f>
        <v/>
      </c>
    </row>
    <row r="89" customFormat="false" ht="15" hidden="false" customHeight="false" outlineLevel="0" collapsed="false">
      <c r="A89" s="9"/>
      <c r="B89" s="11" t="str">
        <f aca="false">IF(OR($A89="",COUNTIFS(Answers!$A$4:$A$203,$A89,Answers!$B$4:$B$203,"First")=0),"",SUMIFS(Answers!$AA$4:$AA$203,Answers!$A$4:$A$203,$A89,Answers!$B$4:$B$203,"First"))</f>
        <v/>
      </c>
      <c r="C89" s="11" t="str">
        <f aca="false">IF(OR($A89="",COUNTIFS(Answers!$A$4:$A$203,$A89,Answers!$B$4:$B$203,"Last")=0),"",SUMIFS(Answers!$AA$4:$AA$203,Answers!$A$4:$A$203,$A89,Answers!$B$4:$B$203,"Last"))</f>
        <v/>
      </c>
      <c r="D89" s="11" t="str">
        <f aca="false">IF(N89=1,C89-B89,"")</f>
        <v/>
      </c>
      <c r="E89" s="19" t="str">
        <f aca="false">IF(OR(N89&lt;&gt;1,B89=16),"",(C89-B89)/(16-B89))</f>
        <v/>
      </c>
      <c r="F89" s="11" t="str">
        <f aca="false">IF(OR($A89="",COUNTIFS(Answers!$A$4:$A$203,$A89,Answers!$B$4:$B$203,"First")=0),"",SUMIFS(Answers!$AB$4:$AB$203,Answers!$A$4:$A$203,$A89,Answers!$B$4:$B$203,"First"))</f>
        <v/>
      </c>
      <c r="G89" s="11" t="str">
        <f aca="false">IF(OR($A89="",COUNTIFS(Answers!$A$4:$A$203,$A89,Answers!$B$4:$B$203,"Last")=0),"",SUMIFS(Answers!$AB$4:$AB$203,Answers!$A$4:$A$203,$A89,Answers!$B$4:$B$203,"Last"))</f>
        <v/>
      </c>
      <c r="H89" s="11" t="str">
        <f aca="false">IF(OR($A89="",COUNTIFS(Answers!$A$4:$A$203,$A89,Answers!$B$4:$B$203,"First")=0),"",SUMIFS(Answers!$AC$4:$AC$203,Answers!$A$4:$A$203,$A89,Answers!$B$4:$B$203,"First"))</f>
        <v/>
      </c>
      <c r="I89" s="11" t="str">
        <f aca="false">IF(OR($A89="",COUNTIFS(Answers!$A$4:$A$203,$A89,Answers!$B$4:$B$203,"Last")=0),"",SUMIFS(Answers!$AC$4:$AC$203,Answers!$A$4:$A$203,$A89,Answers!$B$4:$B$203,"Last"))</f>
        <v/>
      </c>
      <c r="J89" s="12" t="str">
        <f aca="false">IF(OR($A89="",COUNTIFS(Answers!$A$4:$A$203,$A89,Answers!$B$4:$B$203,"First")=0),"",SUMIFS(Answers!$AD$4:$AD$203,Answers!$A$4:$A$203,$A89,Answers!$B$4:$B$203,"First"))</f>
        <v/>
      </c>
      <c r="K89" s="12" t="str">
        <f aca="false">IF(OR($A89="",COUNTIFS(Answers!$A$4:$A$203,$A89,Answers!$B$4:$B$203,"Last")=0),"",SUMIFS(Answers!$AD$4:$AD$203,Answers!$A$4:$A$203,$A89,Answers!$B$4:$B$203,"Last"))</f>
        <v/>
      </c>
      <c r="L89" s="12" t="str">
        <f aca="false">IF(OR($A89="",COUNTIFS(Answers!$A$4:$A$203,$A89,Answers!$B$4:$B$203,"First")=0),"",SUMIFS(Answers!$AE$4:$AE$203,Answers!$A$4:$A$203,$A89,Answers!$B$4:$B$203,"First"))</f>
        <v/>
      </c>
      <c r="M89" s="12" t="str">
        <f aca="false">IF(OR($A89="",COUNTIFS(Answers!$A$4:$A$203,$A89,Answers!$B$4:$B$203,"Last")=0),"",SUMIFS(Answers!$AE$4:$AE$203,Answers!$A$4:$A$203,$A89,Answers!$B$4:$B$203,"Last"))</f>
        <v/>
      </c>
      <c r="N89" s="11" t="n">
        <f aca="false">IF(AND(B89&lt;&gt;"",C89&lt;&gt;""),1,0)</f>
        <v>0</v>
      </c>
      <c r="O89" s="11" t="str">
        <f aca="false">IF($A89="","",IF(MAX(COUNTIFS(Answers!$A$4:$A$203,$A89,Answers!$B$4:$B$203,"First"),COUNTIFS(Answers!$A$4:$A$203,$A89,Answers!$B$4:$B$203,"Last"))&gt;1,"Two rows for one session: keep one",IF(B89="","No first session",IF(C89="","No last session",""))))</f>
        <v/>
      </c>
    </row>
    <row r="90" customFormat="false" ht="15" hidden="false" customHeight="false" outlineLevel="0" collapsed="false">
      <c r="A90" s="9"/>
      <c r="B90" s="11" t="str">
        <f aca="false">IF(OR($A90="",COUNTIFS(Answers!$A$4:$A$203,$A90,Answers!$B$4:$B$203,"First")=0),"",SUMIFS(Answers!$AA$4:$AA$203,Answers!$A$4:$A$203,$A90,Answers!$B$4:$B$203,"First"))</f>
        <v/>
      </c>
      <c r="C90" s="11" t="str">
        <f aca="false">IF(OR($A90="",COUNTIFS(Answers!$A$4:$A$203,$A90,Answers!$B$4:$B$203,"Last")=0),"",SUMIFS(Answers!$AA$4:$AA$203,Answers!$A$4:$A$203,$A90,Answers!$B$4:$B$203,"Last"))</f>
        <v/>
      </c>
      <c r="D90" s="11" t="str">
        <f aca="false">IF(N90=1,C90-B90,"")</f>
        <v/>
      </c>
      <c r="E90" s="19" t="str">
        <f aca="false">IF(OR(N90&lt;&gt;1,B90=16),"",(C90-B90)/(16-B90))</f>
        <v/>
      </c>
      <c r="F90" s="11" t="str">
        <f aca="false">IF(OR($A90="",COUNTIFS(Answers!$A$4:$A$203,$A90,Answers!$B$4:$B$203,"First")=0),"",SUMIFS(Answers!$AB$4:$AB$203,Answers!$A$4:$A$203,$A90,Answers!$B$4:$B$203,"First"))</f>
        <v/>
      </c>
      <c r="G90" s="11" t="str">
        <f aca="false">IF(OR($A90="",COUNTIFS(Answers!$A$4:$A$203,$A90,Answers!$B$4:$B$203,"Last")=0),"",SUMIFS(Answers!$AB$4:$AB$203,Answers!$A$4:$A$203,$A90,Answers!$B$4:$B$203,"Last"))</f>
        <v/>
      </c>
      <c r="H90" s="11" t="str">
        <f aca="false">IF(OR($A90="",COUNTIFS(Answers!$A$4:$A$203,$A90,Answers!$B$4:$B$203,"First")=0),"",SUMIFS(Answers!$AC$4:$AC$203,Answers!$A$4:$A$203,$A90,Answers!$B$4:$B$203,"First"))</f>
        <v/>
      </c>
      <c r="I90" s="11" t="str">
        <f aca="false">IF(OR($A90="",COUNTIFS(Answers!$A$4:$A$203,$A90,Answers!$B$4:$B$203,"Last")=0),"",SUMIFS(Answers!$AC$4:$AC$203,Answers!$A$4:$A$203,$A90,Answers!$B$4:$B$203,"Last"))</f>
        <v/>
      </c>
      <c r="J90" s="12" t="str">
        <f aca="false">IF(OR($A90="",COUNTIFS(Answers!$A$4:$A$203,$A90,Answers!$B$4:$B$203,"First")=0),"",SUMIFS(Answers!$AD$4:$AD$203,Answers!$A$4:$A$203,$A90,Answers!$B$4:$B$203,"First"))</f>
        <v/>
      </c>
      <c r="K90" s="12" t="str">
        <f aca="false">IF(OR($A90="",COUNTIFS(Answers!$A$4:$A$203,$A90,Answers!$B$4:$B$203,"Last")=0),"",SUMIFS(Answers!$AD$4:$AD$203,Answers!$A$4:$A$203,$A90,Answers!$B$4:$B$203,"Last"))</f>
        <v/>
      </c>
      <c r="L90" s="12" t="str">
        <f aca="false">IF(OR($A90="",COUNTIFS(Answers!$A$4:$A$203,$A90,Answers!$B$4:$B$203,"First")=0),"",SUMIFS(Answers!$AE$4:$AE$203,Answers!$A$4:$A$203,$A90,Answers!$B$4:$B$203,"First"))</f>
        <v/>
      </c>
      <c r="M90" s="12" t="str">
        <f aca="false">IF(OR($A90="",COUNTIFS(Answers!$A$4:$A$203,$A90,Answers!$B$4:$B$203,"Last")=0),"",SUMIFS(Answers!$AE$4:$AE$203,Answers!$A$4:$A$203,$A90,Answers!$B$4:$B$203,"Last"))</f>
        <v/>
      </c>
      <c r="N90" s="11" t="n">
        <f aca="false">IF(AND(B90&lt;&gt;"",C90&lt;&gt;""),1,0)</f>
        <v>0</v>
      </c>
      <c r="O90" s="11" t="str">
        <f aca="false">IF($A90="","",IF(MAX(COUNTIFS(Answers!$A$4:$A$203,$A90,Answers!$B$4:$B$203,"First"),COUNTIFS(Answers!$A$4:$A$203,$A90,Answers!$B$4:$B$203,"Last"))&gt;1,"Two rows for one session: keep one",IF(B90="","No first session",IF(C90="","No last session",""))))</f>
        <v/>
      </c>
    </row>
    <row r="91" customFormat="false" ht="15" hidden="false" customHeight="false" outlineLevel="0" collapsed="false">
      <c r="A91" s="9"/>
      <c r="B91" s="11" t="str">
        <f aca="false">IF(OR($A91="",COUNTIFS(Answers!$A$4:$A$203,$A91,Answers!$B$4:$B$203,"First")=0),"",SUMIFS(Answers!$AA$4:$AA$203,Answers!$A$4:$A$203,$A91,Answers!$B$4:$B$203,"First"))</f>
        <v/>
      </c>
      <c r="C91" s="11" t="str">
        <f aca="false">IF(OR($A91="",COUNTIFS(Answers!$A$4:$A$203,$A91,Answers!$B$4:$B$203,"Last")=0),"",SUMIFS(Answers!$AA$4:$AA$203,Answers!$A$4:$A$203,$A91,Answers!$B$4:$B$203,"Last"))</f>
        <v/>
      </c>
      <c r="D91" s="11" t="str">
        <f aca="false">IF(N91=1,C91-B91,"")</f>
        <v/>
      </c>
      <c r="E91" s="19" t="str">
        <f aca="false">IF(OR(N91&lt;&gt;1,B91=16),"",(C91-B91)/(16-B91))</f>
        <v/>
      </c>
      <c r="F91" s="11" t="str">
        <f aca="false">IF(OR($A91="",COUNTIFS(Answers!$A$4:$A$203,$A91,Answers!$B$4:$B$203,"First")=0),"",SUMIFS(Answers!$AB$4:$AB$203,Answers!$A$4:$A$203,$A91,Answers!$B$4:$B$203,"First"))</f>
        <v/>
      </c>
      <c r="G91" s="11" t="str">
        <f aca="false">IF(OR($A91="",COUNTIFS(Answers!$A$4:$A$203,$A91,Answers!$B$4:$B$203,"Last")=0),"",SUMIFS(Answers!$AB$4:$AB$203,Answers!$A$4:$A$203,$A91,Answers!$B$4:$B$203,"Last"))</f>
        <v/>
      </c>
      <c r="H91" s="11" t="str">
        <f aca="false">IF(OR($A91="",COUNTIFS(Answers!$A$4:$A$203,$A91,Answers!$B$4:$B$203,"First")=0),"",SUMIFS(Answers!$AC$4:$AC$203,Answers!$A$4:$A$203,$A91,Answers!$B$4:$B$203,"First"))</f>
        <v/>
      </c>
      <c r="I91" s="11" t="str">
        <f aca="false">IF(OR($A91="",COUNTIFS(Answers!$A$4:$A$203,$A91,Answers!$B$4:$B$203,"Last")=0),"",SUMIFS(Answers!$AC$4:$AC$203,Answers!$A$4:$A$203,$A91,Answers!$B$4:$B$203,"Last"))</f>
        <v/>
      </c>
      <c r="J91" s="12" t="str">
        <f aca="false">IF(OR($A91="",COUNTIFS(Answers!$A$4:$A$203,$A91,Answers!$B$4:$B$203,"First")=0),"",SUMIFS(Answers!$AD$4:$AD$203,Answers!$A$4:$A$203,$A91,Answers!$B$4:$B$203,"First"))</f>
        <v/>
      </c>
      <c r="K91" s="12" t="str">
        <f aca="false">IF(OR($A91="",COUNTIFS(Answers!$A$4:$A$203,$A91,Answers!$B$4:$B$203,"Last")=0),"",SUMIFS(Answers!$AD$4:$AD$203,Answers!$A$4:$A$203,$A91,Answers!$B$4:$B$203,"Last"))</f>
        <v/>
      </c>
      <c r="L91" s="12" t="str">
        <f aca="false">IF(OR($A91="",COUNTIFS(Answers!$A$4:$A$203,$A91,Answers!$B$4:$B$203,"First")=0),"",SUMIFS(Answers!$AE$4:$AE$203,Answers!$A$4:$A$203,$A91,Answers!$B$4:$B$203,"First"))</f>
        <v/>
      </c>
      <c r="M91" s="12" t="str">
        <f aca="false">IF(OR($A91="",COUNTIFS(Answers!$A$4:$A$203,$A91,Answers!$B$4:$B$203,"Last")=0),"",SUMIFS(Answers!$AE$4:$AE$203,Answers!$A$4:$A$203,$A91,Answers!$B$4:$B$203,"Last"))</f>
        <v/>
      </c>
      <c r="N91" s="11" t="n">
        <f aca="false">IF(AND(B91&lt;&gt;"",C91&lt;&gt;""),1,0)</f>
        <v>0</v>
      </c>
      <c r="O91" s="11" t="str">
        <f aca="false">IF($A91="","",IF(MAX(COUNTIFS(Answers!$A$4:$A$203,$A91,Answers!$B$4:$B$203,"First"),COUNTIFS(Answers!$A$4:$A$203,$A91,Answers!$B$4:$B$203,"Last"))&gt;1,"Two rows for one session: keep one",IF(B91="","No first session",IF(C91="","No last session",""))))</f>
        <v/>
      </c>
    </row>
    <row r="92" customFormat="false" ht="15" hidden="false" customHeight="false" outlineLevel="0" collapsed="false">
      <c r="A92" s="9"/>
      <c r="B92" s="11" t="str">
        <f aca="false">IF(OR($A92="",COUNTIFS(Answers!$A$4:$A$203,$A92,Answers!$B$4:$B$203,"First")=0),"",SUMIFS(Answers!$AA$4:$AA$203,Answers!$A$4:$A$203,$A92,Answers!$B$4:$B$203,"First"))</f>
        <v/>
      </c>
      <c r="C92" s="11" t="str">
        <f aca="false">IF(OR($A92="",COUNTIFS(Answers!$A$4:$A$203,$A92,Answers!$B$4:$B$203,"Last")=0),"",SUMIFS(Answers!$AA$4:$AA$203,Answers!$A$4:$A$203,$A92,Answers!$B$4:$B$203,"Last"))</f>
        <v/>
      </c>
      <c r="D92" s="11" t="str">
        <f aca="false">IF(N92=1,C92-B92,"")</f>
        <v/>
      </c>
      <c r="E92" s="19" t="str">
        <f aca="false">IF(OR(N92&lt;&gt;1,B92=16),"",(C92-B92)/(16-B92))</f>
        <v/>
      </c>
      <c r="F92" s="11" t="str">
        <f aca="false">IF(OR($A92="",COUNTIFS(Answers!$A$4:$A$203,$A92,Answers!$B$4:$B$203,"First")=0),"",SUMIFS(Answers!$AB$4:$AB$203,Answers!$A$4:$A$203,$A92,Answers!$B$4:$B$203,"First"))</f>
        <v/>
      </c>
      <c r="G92" s="11" t="str">
        <f aca="false">IF(OR($A92="",COUNTIFS(Answers!$A$4:$A$203,$A92,Answers!$B$4:$B$203,"Last")=0),"",SUMIFS(Answers!$AB$4:$AB$203,Answers!$A$4:$A$203,$A92,Answers!$B$4:$B$203,"Last"))</f>
        <v/>
      </c>
      <c r="H92" s="11" t="str">
        <f aca="false">IF(OR($A92="",COUNTIFS(Answers!$A$4:$A$203,$A92,Answers!$B$4:$B$203,"First")=0),"",SUMIFS(Answers!$AC$4:$AC$203,Answers!$A$4:$A$203,$A92,Answers!$B$4:$B$203,"First"))</f>
        <v/>
      </c>
      <c r="I92" s="11" t="str">
        <f aca="false">IF(OR($A92="",COUNTIFS(Answers!$A$4:$A$203,$A92,Answers!$B$4:$B$203,"Last")=0),"",SUMIFS(Answers!$AC$4:$AC$203,Answers!$A$4:$A$203,$A92,Answers!$B$4:$B$203,"Last"))</f>
        <v/>
      </c>
      <c r="J92" s="12" t="str">
        <f aca="false">IF(OR($A92="",COUNTIFS(Answers!$A$4:$A$203,$A92,Answers!$B$4:$B$203,"First")=0),"",SUMIFS(Answers!$AD$4:$AD$203,Answers!$A$4:$A$203,$A92,Answers!$B$4:$B$203,"First"))</f>
        <v/>
      </c>
      <c r="K92" s="12" t="str">
        <f aca="false">IF(OR($A92="",COUNTIFS(Answers!$A$4:$A$203,$A92,Answers!$B$4:$B$203,"Last")=0),"",SUMIFS(Answers!$AD$4:$AD$203,Answers!$A$4:$A$203,$A92,Answers!$B$4:$B$203,"Last"))</f>
        <v/>
      </c>
      <c r="L92" s="12" t="str">
        <f aca="false">IF(OR($A92="",COUNTIFS(Answers!$A$4:$A$203,$A92,Answers!$B$4:$B$203,"First")=0),"",SUMIFS(Answers!$AE$4:$AE$203,Answers!$A$4:$A$203,$A92,Answers!$B$4:$B$203,"First"))</f>
        <v/>
      </c>
      <c r="M92" s="12" t="str">
        <f aca="false">IF(OR($A92="",COUNTIFS(Answers!$A$4:$A$203,$A92,Answers!$B$4:$B$203,"Last")=0),"",SUMIFS(Answers!$AE$4:$AE$203,Answers!$A$4:$A$203,$A92,Answers!$B$4:$B$203,"Last"))</f>
        <v/>
      </c>
      <c r="N92" s="11" t="n">
        <f aca="false">IF(AND(B92&lt;&gt;"",C92&lt;&gt;""),1,0)</f>
        <v>0</v>
      </c>
      <c r="O92" s="11" t="str">
        <f aca="false">IF($A92="","",IF(MAX(COUNTIFS(Answers!$A$4:$A$203,$A92,Answers!$B$4:$B$203,"First"),COUNTIFS(Answers!$A$4:$A$203,$A92,Answers!$B$4:$B$203,"Last"))&gt;1,"Two rows for one session: keep one",IF(B92="","No first session",IF(C92="","No last session",""))))</f>
        <v/>
      </c>
    </row>
    <row r="93" customFormat="false" ht="15" hidden="false" customHeight="false" outlineLevel="0" collapsed="false">
      <c r="A93" s="9"/>
      <c r="B93" s="11" t="str">
        <f aca="false">IF(OR($A93="",COUNTIFS(Answers!$A$4:$A$203,$A93,Answers!$B$4:$B$203,"First")=0),"",SUMIFS(Answers!$AA$4:$AA$203,Answers!$A$4:$A$203,$A93,Answers!$B$4:$B$203,"First"))</f>
        <v/>
      </c>
      <c r="C93" s="11" t="str">
        <f aca="false">IF(OR($A93="",COUNTIFS(Answers!$A$4:$A$203,$A93,Answers!$B$4:$B$203,"Last")=0),"",SUMIFS(Answers!$AA$4:$AA$203,Answers!$A$4:$A$203,$A93,Answers!$B$4:$B$203,"Last"))</f>
        <v/>
      </c>
      <c r="D93" s="11" t="str">
        <f aca="false">IF(N93=1,C93-B93,"")</f>
        <v/>
      </c>
      <c r="E93" s="19" t="str">
        <f aca="false">IF(OR(N93&lt;&gt;1,B93=16),"",(C93-B93)/(16-B93))</f>
        <v/>
      </c>
      <c r="F93" s="11" t="str">
        <f aca="false">IF(OR($A93="",COUNTIFS(Answers!$A$4:$A$203,$A93,Answers!$B$4:$B$203,"First")=0),"",SUMIFS(Answers!$AB$4:$AB$203,Answers!$A$4:$A$203,$A93,Answers!$B$4:$B$203,"First"))</f>
        <v/>
      </c>
      <c r="G93" s="11" t="str">
        <f aca="false">IF(OR($A93="",COUNTIFS(Answers!$A$4:$A$203,$A93,Answers!$B$4:$B$203,"Last")=0),"",SUMIFS(Answers!$AB$4:$AB$203,Answers!$A$4:$A$203,$A93,Answers!$B$4:$B$203,"Last"))</f>
        <v/>
      </c>
      <c r="H93" s="11" t="str">
        <f aca="false">IF(OR($A93="",COUNTIFS(Answers!$A$4:$A$203,$A93,Answers!$B$4:$B$203,"First")=0),"",SUMIFS(Answers!$AC$4:$AC$203,Answers!$A$4:$A$203,$A93,Answers!$B$4:$B$203,"First"))</f>
        <v/>
      </c>
      <c r="I93" s="11" t="str">
        <f aca="false">IF(OR($A93="",COUNTIFS(Answers!$A$4:$A$203,$A93,Answers!$B$4:$B$203,"Last")=0),"",SUMIFS(Answers!$AC$4:$AC$203,Answers!$A$4:$A$203,$A93,Answers!$B$4:$B$203,"Last"))</f>
        <v/>
      </c>
      <c r="J93" s="12" t="str">
        <f aca="false">IF(OR($A93="",COUNTIFS(Answers!$A$4:$A$203,$A93,Answers!$B$4:$B$203,"First")=0),"",SUMIFS(Answers!$AD$4:$AD$203,Answers!$A$4:$A$203,$A93,Answers!$B$4:$B$203,"First"))</f>
        <v/>
      </c>
      <c r="K93" s="12" t="str">
        <f aca="false">IF(OR($A93="",COUNTIFS(Answers!$A$4:$A$203,$A93,Answers!$B$4:$B$203,"Last")=0),"",SUMIFS(Answers!$AD$4:$AD$203,Answers!$A$4:$A$203,$A93,Answers!$B$4:$B$203,"Last"))</f>
        <v/>
      </c>
      <c r="L93" s="12" t="str">
        <f aca="false">IF(OR($A93="",COUNTIFS(Answers!$A$4:$A$203,$A93,Answers!$B$4:$B$203,"First")=0),"",SUMIFS(Answers!$AE$4:$AE$203,Answers!$A$4:$A$203,$A93,Answers!$B$4:$B$203,"First"))</f>
        <v/>
      </c>
      <c r="M93" s="12" t="str">
        <f aca="false">IF(OR($A93="",COUNTIFS(Answers!$A$4:$A$203,$A93,Answers!$B$4:$B$203,"Last")=0),"",SUMIFS(Answers!$AE$4:$AE$203,Answers!$A$4:$A$203,$A93,Answers!$B$4:$B$203,"Last"))</f>
        <v/>
      </c>
      <c r="N93" s="11" t="n">
        <f aca="false">IF(AND(B93&lt;&gt;"",C93&lt;&gt;""),1,0)</f>
        <v>0</v>
      </c>
      <c r="O93" s="11" t="str">
        <f aca="false">IF($A93="","",IF(MAX(COUNTIFS(Answers!$A$4:$A$203,$A93,Answers!$B$4:$B$203,"First"),COUNTIFS(Answers!$A$4:$A$203,$A93,Answers!$B$4:$B$203,"Last"))&gt;1,"Two rows for one session: keep one",IF(B93="","No first session",IF(C93="","No last session",""))))</f>
        <v/>
      </c>
    </row>
    <row r="94" customFormat="false" ht="15" hidden="false" customHeight="false" outlineLevel="0" collapsed="false">
      <c r="A94" s="9"/>
      <c r="B94" s="11" t="str">
        <f aca="false">IF(OR($A94="",COUNTIFS(Answers!$A$4:$A$203,$A94,Answers!$B$4:$B$203,"First")=0),"",SUMIFS(Answers!$AA$4:$AA$203,Answers!$A$4:$A$203,$A94,Answers!$B$4:$B$203,"First"))</f>
        <v/>
      </c>
      <c r="C94" s="11" t="str">
        <f aca="false">IF(OR($A94="",COUNTIFS(Answers!$A$4:$A$203,$A94,Answers!$B$4:$B$203,"Last")=0),"",SUMIFS(Answers!$AA$4:$AA$203,Answers!$A$4:$A$203,$A94,Answers!$B$4:$B$203,"Last"))</f>
        <v/>
      </c>
      <c r="D94" s="11" t="str">
        <f aca="false">IF(N94=1,C94-B94,"")</f>
        <v/>
      </c>
      <c r="E94" s="19" t="str">
        <f aca="false">IF(OR(N94&lt;&gt;1,B94=16),"",(C94-B94)/(16-B94))</f>
        <v/>
      </c>
      <c r="F94" s="11" t="str">
        <f aca="false">IF(OR($A94="",COUNTIFS(Answers!$A$4:$A$203,$A94,Answers!$B$4:$B$203,"First")=0),"",SUMIFS(Answers!$AB$4:$AB$203,Answers!$A$4:$A$203,$A94,Answers!$B$4:$B$203,"First"))</f>
        <v/>
      </c>
      <c r="G94" s="11" t="str">
        <f aca="false">IF(OR($A94="",COUNTIFS(Answers!$A$4:$A$203,$A94,Answers!$B$4:$B$203,"Last")=0),"",SUMIFS(Answers!$AB$4:$AB$203,Answers!$A$4:$A$203,$A94,Answers!$B$4:$B$203,"Last"))</f>
        <v/>
      </c>
      <c r="H94" s="11" t="str">
        <f aca="false">IF(OR($A94="",COUNTIFS(Answers!$A$4:$A$203,$A94,Answers!$B$4:$B$203,"First")=0),"",SUMIFS(Answers!$AC$4:$AC$203,Answers!$A$4:$A$203,$A94,Answers!$B$4:$B$203,"First"))</f>
        <v/>
      </c>
      <c r="I94" s="11" t="str">
        <f aca="false">IF(OR($A94="",COUNTIFS(Answers!$A$4:$A$203,$A94,Answers!$B$4:$B$203,"Last")=0),"",SUMIFS(Answers!$AC$4:$AC$203,Answers!$A$4:$A$203,$A94,Answers!$B$4:$B$203,"Last"))</f>
        <v/>
      </c>
      <c r="J94" s="12" t="str">
        <f aca="false">IF(OR($A94="",COUNTIFS(Answers!$A$4:$A$203,$A94,Answers!$B$4:$B$203,"First")=0),"",SUMIFS(Answers!$AD$4:$AD$203,Answers!$A$4:$A$203,$A94,Answers!$B$4:$B$203,"First"))</f>
        <v/>
      </c>
      <c r="K94" s="12" t="str">
        <f aca="false">IF(OR($A94="",COUNTIFS(Answers!$A$4:$A$203,$A94,Answers!$B$4:$B$203,"Last")=0),"",SUMIFS(Answers!$AD$4:$AD$203,Answers!$A$4:$A$203,$A94,Answers!$B$4:$B$203,"Last"))</f>
        <v/>
      </c>
      <c r="L94" s="12" t="str">
        <f aca="false">IF(OR($A94="",COUNTIFS(Answers!$A$4:$A$203,$A94,Answers!$B$4:$B$203,"First")=0),"",SUMIFS(Answers!$AE$4:$AE$203,Answers!$A$4:$A$203,$A94,Answers!$B$4:$B$203,"First"))</f>
        <v/>
      </c>
      <c r="M94" s="12" t="str">
        <f aca="false">IF(OR($A94="",COUNTIFS(Answers!$A$4:$A$203,$A94,Answers!$B$4:$B$203,"Last")=0),"",SUMIFS(Answers!$AE$4:$AE$203,Answers!$A$4:$A$203,$A94,Answers!$B$4:$B$203,"Last"))</f>
        <v/>
      </c>
      <c r="N94" s="11" t="n">
        <f aca="false">IF(AND(B94&lt;&gt;"",C94&lt;&gt;""),1,0)</f>
        <v>0</v>
      </c>
      <c r="O94" s="11" t="str">
        <f aca="false">IF($A94="","",IF(MAX(COUNTIFS(Answers!$A$4:$A$203,$A94,Answers!$B$4:$B$203,"First"),COUNTIFS(Answers!$A$4:$A$203,$A94,Answers!$B$4:$B$203,"Last"))&gt;1,"Two rows for one session: keep one",IF(B94="","No first session",IF(C94="","No last session",""))))</f>
        <v/>
      </c>
    </row>
    <row r="95" customFormat="false" ht="15" hidden="false" customHeight="false" outlineLevel="0" collapsed="false">
      <c r="A95" s="9"/>
      <c r="B95" s="11" t="str">
        <f aca="false">IF(OR($A95="",COUNTIFS(Answers!$A$4:$A$203,$A95,Answers!$B$4:$B$203,"First")=0),"",SUMIFS(Answers!$AA$4:$AA$203,Answers!$A$4:$A$203,$A95,Answers!$B$4:$B$203,"First"))</f>
        <v/>
      </c>
      <c r="C95" s="11" t="str">
        <f aca="false">IF(OR($A95="",COUNTIFS(Answers!$A$4:$A$203,$A95,Answers!$B$4:$B$203,"Last")=0),"",SUMIFS(Answers!$AA$4:$AA$203,Answers!$A$4:$A$203,$A95,Answers!$B$4:$B$203,"Last"))</f>
        <v/>
      </c>
      <c r="D95" s="11" t="str">
        <f aca="false">IF(N95=1,C95-B95,"")</f>
        <v/>
      </c>
      <c r="E95" s="19" t="str">
        <f aca="false">IF(OR(N95&lt;&gt;1,B95=16),"",(C95-B95)/(16-B95))</f>
        <v/>
      </c>
      <c r="F95" s="11" t="str">
        <f aca="false">IF(OR($A95="",COUNTIFS(Answers!$A$4:$A$203,$A95,Answers!$B$4:$B$203,"First")=0),"",SUMIFS(Answers!$AB$4:$AB$203,Answers!$A$4:$A$203,$A95,Answers!$B$4:$B$203,"First"))</f>
        <v/>
      </c>
      <c r="G95" s="11" t="str">
        <f aca="false">IF(OR($A95="",COUNTIFS(Answers!$A$4:$A$203,$A95,Answers!$B$4:$B$203,"Last")=0),"",SUMIFS(Answers!$AB$4:$AB$203,Answers!$A$4:$A$203,$A95,Answers!$B$4:$B$203,"Last"))</f>
        <v/>
      </c>
      <c r="H95" s="11" t="str">
        <f aca="false">IF(OR($A95="",COUNTIFS(Answers!$A$4:$A$203,$A95,Answers!$B$4:$B$203,"First")=0),"",SUMIFS(Answers!$AC$4:$AC$203,Answers!$A$4:$A$203,$A95,Answers!$B$4:$B$203,"First"))</f>
        <v/>
      </c>
      <c r="I95" s="11" t="str">
        <f aca="false">IF(OR($A95="",COUNTIFS(Answers!$A$4:$A$203,$A95,Answers!$B$4:$B$203,"Last")=0),"",SUMIFS(Answers!$AC$4:$AC$203,Answers!$A$4:$A$203,$A95,Answers!$B$4:$B$203,"Last"))</f>
        <v/>
      </c>
      <c r="J95" s="12" t="str">
        <f aca="false">IF(OR($A95="",COUNTIFS(Answers!$A$4:$A$203,$A95,Answers!$B$4:$B$203,"First")=0),"",SUMIFS(Answers!$AD$4:$AD$203,Answers!$A$4:$A$203,$A95,Answers!$B$4:$B$203,"First"))</f>
        <v/>
      </c>
      <c r="K95" s="12" t="str">
        <f aca="false">IF(OR($A95="",COUNTIFS(Answers!$A$4:$A$203,$A95,Answers!$B$4:$B$203,"Last")=0),"",SUMIFS(Answers!$AD$4:$AD$203,Answers!$A$4:$A$203,$A95,Answers!$B$4:$B$203,"Last"))</f>
        <v/>
      </c>
      <c r="L95" s="12" t="str">
        <f aca="false">IF(OR($A95="",COUNTIFS(Answers!$A$4:$A$203,$A95,Answers!$B$4:$B$203,"First")=0),"",SUMIFS(Answers!$AE$4:$AE$203,Answers!$A$4:$A$203,$A95,Answers!$B$4:$B$203,"First"))</f>
        <v/>
      </c>
      <c r="M95" s="12" t="str">
        <f aca="false">IF(OR($A95="",COUNTIFS(Answers!$A$4:$A$203,$A95,Answers!$B$4:$B$203,"Last")=0),"",SUMIFS(Answers!$AE$4:$AE$203,Answers!$A$4:$A$203,$A95,Answers!$B$4:$B$203,"Last"))</f>
        <v/>
      </c>
      <c r="N95" s="11" t="n">
        <f aca="false">IF(AND(B95&lt;&gt;"",C95&lt;&gt;""),1,0)</f>
        <v>0</v>
      </c>
      <c r="O95" s="11" t="str">
        <f aca="false">IF($A95="","",IF(MAX(COUNTIFS(Answers!$A$4:$A$203,$A95,Answers!$B$4:$B$203,"First"),COUNTIFS(Answers!$A$4:$A$203,$A95,Answers!$B$4:$B$203,"Last"))&gt;1,"Two rows for one session: keep one",IF(B95="","No first session",IF(C95="","No last session",""))))</f>
        <v/>
      </c>
    </row>
    <row r="96" customFormat="false" ht="15" hidden="false" customHeight="false" outlineLevel="0" collapsed="false">
      <c r="A96" s="9"/>
      <c r="B96" s="11" t="str">
        <f aca="false">IF(OR($A96="",COUNTIFS(Answers!$A$4:$A$203,$A96,Answers!$B$4:$B$203,"First")=0),"",SUMIFS(Answers!$AA$4:$AA$203,Answers!$A$4:$A$203,$A96,Answers!$B$4:$B$203,"First"))</f>
        <v/>
      </c>
      <c r="C96" s="11" t="str">
        <f aca="false">IF(OR($A96="",COUNTIFS(Answers!$A$4:$A$203,$A96,Answers!$B$4:$B$203,"Last")=0),"",SUMIFS(Answers!$AA$4:$AA$203,Answers!$A$4:$A$203,$A96,Answers!$B$4:$B$203,"Last"))</f>
        <v/>
      </c>
      <c r="D96" s="11" t="str">
        <f aca="false">IF(N96=1,C96-B96,"")</f>
        <v/>
      </c>
      <c r="E96" s="19" t="str">
        <f aca="false">IF(OR(N96&lt;&gt;1,B96=16),"",(C96-B96)/(16-B96))</f>
        <v/>
      </c>
      <c r="F96" s="11" t="str">
        <f aca="false">IF(OR($A96="",COUNTIFS(Answers!$A$4:$A$203,$A96,Answers!$B$4:$B$203,"First")=0),"",SUMIFS(Answers!$AB$4:$AB$203,Answers!$A$4:$A$203,$A96,Answers!$B$4:$B$203,"First"))</f>
        <v/>
      </c>
      <c r="G96" s="11" t="str">
        <f aca="false">IF(OR($A96="",COUNTIFS(Answers!$A$4:$A$203,$A96,Answers!$B$4:$B$203,"Last")=0),"",SUMIFS(Answers!$AB$4:$AB$203,Answers!$A$4:$A$203,$A96,Answers!$B$4:$B$203,"Last"))</f>
        <v/>
      </c>
      <c r="H96" s="11" t="str">
        <f aca="false">IF(OR($A96="",COUNTIFS(Answers!$A$4:$A$203,$A96,Answers!$B$4:$B$203,"First")=0),"",SUMIFS(Answers!$AC$4:$AC$203,Answers!$A$4:$A$203,$A96,Answers!$B$4:$B$203,"First"))</f>
        <v/>
      </c>
      <c r="I96" s="11" t="str">
        <f aca="false">IF(OR($A96="",COUNTIFS(Answers!$A$4:$A$203,$A96,Answers!$B$4:$B$203,"Last")=0),"",SUMIFS(Answers!$AC$4:$AC$203,Answers!$A$4:$A$203,$A96,Answers!$B$4:$B$203,"Last"))</f>
        <v/>
      </c>
      <c r="J96" s="12" t="str">
        <f aca="false">IF(OR($A96="",COUNTIFS(Answers!$A$4:$A$203,$A96,Answers!$B$4:$B$203,"First")=0),"",SUMIFS(Answers!$AD$4:$AD$203,Answers!$A$4:$A$203,$A96,Answers!$B$4:$B$203,"First"))</f>
        <v/>
      </c>
      <c r="K96" s="12" t="str">
        <f aca="false">IF(OR($A96="",COUNTIFS(Answers!$A$4:$A$203,$A96,Answers!$B$4:$B$203,"Last")=0),"",SUMIFS(Answers!$AD$4:$AD$203,Answers!$A$4:$A$203,$A96,Answers!$B$4:$B$203,"Last"))</f>
        <v/>
      </c>
      <c r="L96" s="12" t="str">
        <f aca="false">IF(OR($A96="",COUNTIFS(Answers!$A$4:$A$203,$A96,Answers!$B$4:$B$203,"First")=0),"",SUMIFS(Answers!$AE$4:$AE$203,Answers!$A$4:$A$203,$A96,Answers!$B$4:$B$203,"First"))</f>
        <v/>
      </c>
      <c r="M96" s="12" t="str">
        <f aca="false">IF(OR($A96="",COUNTIFS(Answers!$A$4:$A$203,$A96,Answers!$B$4:$B$203,"Last")=0),"",SUMIFS(Answers!$AE$4:$AE$203,Answers!$A$4:$A$203,$A96,Answers!$B$4:$B$203,"Last"))</f>
        <v/>
      </c>
      <c r="N96" s="11" t="n">
        <f aca="false">IF(AND(B96&lt;&gt;"",C96&lt;&gt;""),1,0)</f>
        <v>0</v>
      </c>
      <c r="O96" s="11" t="str">
        <f aca="false">IF($A96="","",IF(MAX(COUNTIFS(Answers!$A$4:$A$203,$A96,Answers!$B$4:$B$203,"First"),COUNTIFS(Answers!$A$4:$A$203,$A96,Answers!$B$4:$B$203,"Last"))&gt;1,"Two rows for one session: keep one",IF(B96="","No first session",IF(C96="","No last session",""))))</f>
        <v/>
      </c>
    </row>
    <row r="97" customFormat="false" ht="15" hidden="false" customHeight="false" outlineLevel="0" collapsed="false">
      <c r="A97" s="9"/>
      <c r="B97" s="11" t="str">
        <f aca="false">IF(OR($A97="",COUNTIFS(Answers!$A$4:$A$203,$A97,Answers!$B$4:$B$203,"First")=0),"",SUMIFS(Answers!$AA$4:$AA$203,Answers!$A$4:$A$203,$A97,Answers!$B$4:$B$203,"First"))</f>
        <v/>
      </c>
      <c r="C97" s="11" t="str">
        <f aca="false">IF(OR($A97="",COUNTIFS(Answers!$A$4:$A$203,$A97,Answers!$B$4:$B$203,"Last")=0),"",SUMIFS(Answers!$AA$4:$AA$203,Answers!$A$4:$A$203,$A97,Answers!$B$4:$B$203,"Last"))</f>
        <v/>
      </c>
      <c r="D97" s="11" t="str">
        <f aca="false">IF(N97=1,C97-B97,"")</f>
        <v/>
      </c>
      <c r="E97" s="19" t="str">
        <f aca="false">IF(OR(N97&lt;&gt;1,B97=16),"",(C97-B97)/(16-B97))</f>
        <v/>
      </c>
      <c r="F97" s="11" t="str">
        <f aca="false">IF(OR($A97="",COUNTIFS(Answers!$A$4:$A$203,$A97,Answers!$B$4:$B$203,"First")=0),"",SUMIFS(Answers!$AB$4:$AB$203,Answers!$A$4:$A$203,$A97,Answers!$B$4:$B$203,"First"))</f>
        <v/>
      </c>
      <c r="G97" s="11" t="str">
        <f aca="false">IF(OR($A97="",COUNTIFS(Answers!$A$4:$A$203,$A97,Answers!$B$4:$B$203,"Last")=0),"",SUMIFS(Answers!$AB$4:$AB$203,Answers!$A$4:$A$203,$A97,Answers!$B$4:$B$203,"Last"))</f>
        <v/>
      </c>
      <c r="H97" s="11" t="str">
        <f aca="false">IF(OR($A97="",COUNTIFS(Answers!$A$4:$A$203,$A97,Answers!$B$4:$B$203,"First")=0),"",SUMIFS(Answers!$AC$4:$AC$203,Answers!$A$4:$A$203,$A97,Answers!$B$4:$B$203,"First"))</f>
        <v/>
      </c>
      <c r="I97" s="11" t="str">
        <f aca="false">IF(OR($A97="",COUNTIFS(Answers!$A$4:$A$203,$A97,Answers!$B$4:$B$203,"Last")=0),"",SUMIFS(Answers!$AC$4:$AC$203,Answers!$A$4:$A$203,$A97,Answers!$B$4:$B$203,"Last"))</f>
        <v/>
      </c>
      <c r="J97" s="12" t="str">
        <f aca="false">IF(OR($A97="",COUNTIFS(Answers!$A$4:$A$203,$A97,Answers!$B$4:$B$203,"First")=0),"",SUMIFS(Answers!$AD$4:$AD$203,Answers!$A$4:$A$203,$A97,Answers!$B$4:$B$203,"First"))</f>
        <v/>
      </c>
      <c r="K97" s="12" t="str">
        <f aca="false">IF(OR($A97="",COUNTIFS(Answers!$A$4:$A$203,$A97,Answers!$B$4:$B$203,"Last")=0),"",SUMIFS(Answers!$AD$4:$AD$203,Answers!$A$4:$A$203,$A97,Answers!$B$4:$B$203,"Last"))</f>
        <v/>
      </c>
      <c r="L97" s="12" t="str">
        <f aca="false">IF(OR($A97="",COUNTIFS(Answers!$A$4:$A$203,$A97,Answers!$B$4:$B$203,"First")=0),"",SUMIFS(Answers!$AE$4:$AE$203,Answers!$A$4:$A$203,$A97,Answers!$B$4:$B$203,"First"))</f>
        <v/>
      </c>
      <c r="M97" s="12" t="str">
        <f aca="false">IF(OR($A97="",COUNTIFS(Answers!$A$4:$A$203,$A97,Answers!$B$4:$B$203,"Last")=0),"",SUMIFS(Answers!$AE$4:$AE$203,Answers!$A$4:$A$203,$A97,Answers!$B$4:$B$203,"Last"))</f>
        <v/>
      </c>
      <c r="N97" s="11" t="n">
        <f aca="false">IF(AND(B97&lt;&gt;"",C97&lt;&gt;""),1,0)</f>
        <v>0</v>
      </c>
      <c r="O97" s="11" t="str">
        <f aca="false">IF($A97="","",IF(MAX(COUNTIFS(Answers!$A$4:$A$203,$A97,Answers!$B$4:$B$203,"First"),COUNTIFS(Answers!$A$4:$A$203,$A97,Answers!$B$4:$B$203,"Last"))&gt;1,"Two rows for one session: keep one",IF(B97="","No first session",IF(C97="","No last session",""))))</f>
        <v/>
      </c>
    </row>
    <row r="98" customFormat="false" ht="15" hidden="false" customHeight="false" outlineLevel="0" collapsed="false">
      <c r="A98" s="9"/>
      <c r="B98" s="11" t="str">
        <f aca="false">IF(OR($A98="",COUNTIFS(Answers!$A$4:$A$203,$A98,Answers!$B$4:$B$203,"First")=0),"",SUMIFS(Answers!$AA$4:$AA$203,Answers!$A$4:$A$203,$A98,Answers!$B$4:$B$203,"First"))</f>
        <v/>
      </c>
      <c r="C98" s="11" t="str">
        <f aca="false">IF(OR($A98="",COUNTIFS(Answers!$A$4:$A$203,$A98,Answers!$B$4:$B$203,"Last")=0),"",SUMIFS(Answers!$AA$4:$AA$203,Answers!$A$4:$A$203,$A98,Answers!$B$4:$B$203,"Last"))</f>
        <v/>
      </c>
      <c r="D98" s="11" t="str">
        <f aca="false">IF(N98=1,C98-B98,"")</f>
        <v/>
      </c>
      <c r="E98" s="19" t="str">
        <f aca="false">IF(OR(N98&lt;&gt;1,B98=16),"",(C98-B98)/(16-B98))</f>
        <v/>
      </c>
      <c r="F98" s="11" t="str">
        <f aca="false">IF(OR($A98="",COUNTIFS(Answers!$A$4:$A$203,$A98,Answers!$B$4:$B$203,"First")=0),"",SUMIFS(Answers!$AB$4:$AB$203,Answers!$A$4:$A$203,$A98,Answers!$B$4:$B$203,"First"))</f>
        <v/>
      </c>
      <c r="G98" s="11" t="str">
        <f aca="false">IF(OR($A98="",COUNTIFS(Answers!$A$4:$A$203,$A98,Answers!$B$4:$B$203,"Last")=0),"",SUMIFS(Answers!$AB$4:$AB$203,Answers!$A$4:$A$203,$A98,Answers!$B$4:$B$203,"Last"))</f>
        <v/>
      </c>
      <c r="H98" s="11" t="str">
        <f aca="false">IF(OR($A98="",COUNTIFS(Answers!$A$4:$A$203,$A98,Answers!$B$4:$B$203,"First")=0),"",SUMIFS(Answers!$AC$4:$AC$203,Answers!$A$4:$A$203,$A98,Answers!$B$4:$B$203,"First"))</f>
        <v/>
      </c>
      <c r="I98" s="11" t="str">
        <f aca="false">IF(OR($A98="",COUNTIFS(Answers!$A$4:$A$203,$A98,Answers!$B$4:$B$203,"Last")=0),"",SUMIFS(Answers!$AC$4:$AC$203,Answers!$A$4:$A$203,$A98,Answers!$B$4:$B$203,"Last"))</f>
        <v/>
      </c>
      <c r="J98" s="12" t="str">
        <f aca="false">IF(OR($A98="",COUNTIFS(Answers!$A$4:$A$203,$A98,Answers!$B$4:$B$203,"First")=0),"",SUMIFS(Answers!$AD$4:$AD$203,Answers!$A$4:$A$203,$A98,Answers!$B$4:$B$203,"First"))</f>
        <v/>
      </c>
      <c r="K98" s="12" t="str">
        <f aca="false">IF(OR($A98="",COUNTIFS(Answers!$A$4:$A$203,$A98,Answers!$B$4:$B$203,"Last")=0),"",SUMIFS(Answers!$AD$4:$AD$203,Answers!$A$4:$A$203,$A98,Answers!$B$4:$B$203,"Last"))</f>
        <v/>
      </c>
      <c r="L98" s="12" t="str">
        <f aca="false">IF(OR($A98="",COUNTIFS(Answers!$A$4:$A$203,$A98,Answers!$B$4:$B$203,"First")=0),"",SUMIFS(Answers!$AE$4:$AE$203,Answers!$A$4:$A$203,$A98,Answers!$B$4:$B$203,"First"))</f>
        <v/>
      </c>
      <c r="M98" s="12" t="str">
        <f aca="false">IF(OR($A98="",COUNTIFS(Answers!$A$4:$A$203,$A98,Answers!$B$4:$B$203,"Last")=0),"",SUMIFS(Answers!$AE$4:$AE$203,Answers!$A$4:$A$203,$A98,Answers!$B$4:$B$203,"Last"))</f>
        <v/>
      </c>
      <c r="N98" s="11" t="n">
        <f aca="false">IF(AND(B98&lt;&gt;"",C98&lt;&gt;""),1,0)</f>
        <v>0</v>
      </c>
      <c r="O98" s="11" t="str">
        <f aca="false">IF($A98="","",IF(MAX(COUNTIFS(Answers!$A$4:$A$203,$A98,Answers!$B$4:$B$203,"First"),COUNTIFS(Answers!$A$4:$A$203,$A98,Answers!$B$4:$B$203,"Last"))&gt;1,"Two rows for one session: keep one",IF(B98="","No first session",IF(C98="","No last session",""))))</f>
        <v/>
      </c>
    </row>
    <row r="99" customFormat="false" ht="15" hidden="false" customHeight="false" outlineLevel="0" collapsed="false">
      <c r="A99" s="9"/>
      <c r="B99" s="11" t="str">
        <f aca="false">IF(OR($A99="",COUNTIFS(Answers!$A$4:$A$203,$A99,Answers!$B$4:$B$203,"First")=0),"",SUMIFS(Answers!$AA$4:$AA$203,Answers!$A$4:$A$203,$A99,Answers!$B$4:$B$203,"First"))</f>
        <v/>
      </c>
      <c r="C99" s="11" t="str">
        <f aca="false">IF(OR($A99="",COUNTIFS(Answers!$A$4:$A$203,$A99,Answers!$B$4:$B$203,"Last")=0),"",SUMIFS(Answers!$AA$4:$AA$203,Answers!$A$4:$A$203,$A99,Answers!$B$4:$B$203,"Last"))</f>
        <v/>
      </c>
      <c r="D99" s="11" t="str">
        <f aca="false">IF(N99=1,C99-B99,"")</f>
        <v/>
      </c>
      <c r="E99" s="19" t="str">
        <f aca="false">IF(OR(N99&lt;&gt;1,B99=16),"",(C99-B99)/(16-B99))</f>
        <v/>
      </c>
      <c r="F99" s="11" t="str">
        <f aca="false">IF(OR($A99="",COUNTIFS(Answers!$A$4:$A$203,$A99,Answers!$B$4:$B$203,"First")=0),"",SUMIFS(Answers!$AB$4:$AB$203,Answers!$A$4:$A$203,$A99,Answers!$B$4:$B$203,"First"))</f>
        <v/>
      </c>
      <c r="G99" s="11" t="str">
        <f aca="false">IF(OR($A99="",COUNTIFS(Answers!$A$4:$A$203,$A99,Answers!$B$4:$B$203,"Last")=0),"",SUMIFS(Answers!$AB$4:$AB$203,Answers!$A$4:$A$203,$A99,Answers!$B$4:$B$203,"Last"))</f>
        <v/>
      </c>
      <c r="H99" s="11" t="str">
        <f aca="false">IF(OR($A99="",COUNTIFS(Answers!$A$4:$A$203,$A99,Answers!$B$4:$B$203,"First")=0),"",SUMIFS(Answers!$AC$4:$AC$203,Answers!$A$4:$A$203,$A99,Answers!$B$4:$B$203,"First"))</f>
        <v/>
      </c>
      <c r="I99" s="11" t="str">
        <f aca="false">IF(OR($A99="",COUNTIFS(Answers!$A$4:$A$203,$A99,Answers!$B$4:$B$203,"Last")=0),"",SUMIFS(Answers!$AC$4:$AC$203,Answers!$A$4:$A$203,$A99,Answers!$B$4:$B$203,"Last"))</f>
        <v/>
      </c>
      <c r="J99" s="12" t="str">
        <f aca="false">IF(OR($A99="",COUNTIFS(Answers!$A$4:$A$203,$A99,Answers!$B$4:$B$203,"First")=0),"",SUMIFS(Answers!$AD$4:$AD$203,Answers!$A$4:$A$203,$A99,Answers!$B$4:$B$203,"First"))</f>
        <v/>
      </c>
      <c r="K99" s="12" t="str">
        <f aca="false">IF(OR($A99="",COUNTIFS(Answers!$A$4:$A$203,$A99,Answers!$B$4:$B$203,"Last")=0),"",SUMIFS(Answers!$AD$4:$AD$203,Answers!$A$4:$A$203,$A99,Answers!$B$4:$B$203,"Last"))</f>
        <v/>
      </c>
      <c r="L99" s="12" t="str">
        <f aca="false">IF(OR($A99="",COUNTIFS(Answers!$A$4:$A$203,$A99,Answers!$B$4:$B$203,"First")=0),"",SUMIFS(Answers!$AE$4:$AE$203,Answers!$A$4:$A$203,$A99,Answers!$B$4:$B$203,"First"))</f>
        <v/>
      </c>
      <c r="M99" s="12" t="str">
        <f aca="false">IF(OR($A99="",COUNTIFS(Answers!$A$4:$A$203,$A99,Answers!$B$4:$B$203,"Last")=0),"",SUMIFS(Answers!$AE$4:$AE$203,Answers!$A$4:$A$203,$A99,Answers!$B$4:$B$203,"Last"))</f>
        <v/>
      </c>
      <c r="N99" s="11" t="n">
        <f aca="false">IF(AND(B99&lt;&gt;"",C99&lt;&gt;""),1,0)</f>
        <v>0</v>
      </c>
      <c r="O99" s="11" t="str">
        <f aca="false">IF($A99="","",IF(MAX(COUNTIFS(Answers!$A$4:$A$203,$A99,Answers!$B$4:$B$203,"First"),COUNTIFS(Answers!$A$4:$A$203,$A99,Answers!$B$4:$B$203,"Last"))&gt;1,"Two rows for one session: keep one",IF(B99="","No first session",IF(C99="","No last session",""))))</f>
        <v/>
      </c>
    </row>
    <row r="100" customFormat="false" ht="15" hidden="false" customHeight="false" outlineLevel="0" collapsed="false">
      <c r="A100" s="9"/>
      <c r="B100" s="11" t="str">
        <f aca="false">IF(OR($A100="",COUNTIFS(Answers!$A$4:$A$203,$A100,Answers!$B$4:$B$203,"First")=0),"",SUMIFS(Answers!$AA$4:$AA$203,Answers!$A$4:$A$203,$A100,Answers!$B$4:$B$203,"First"))</f>
        <v/>
      </c>
      <c r="C100" s="11" t="str">
        <f aca="false">IF(OR($A100="",COUNTIFS(Answers!$A$4:$A$203,$A100,Answers!$B$4:$B$203,"Last")=0),"",SUMIFS(Answers!$AA$4:$AA$203,Answers!$A$4:$A$203,$A100,Answers!$B$4:$B$203,"Last"))</f>
        <v/>
      </c>
      <c r="D100" s="11" t="str">
        <f aca="false">IF(N100=1,C100-B100,"")</f>
        <v/>
      </c>
      <c r="E100" s="19" t="str">
        <f aca="false">IF(OR(N100&lt;&gt;1,B100=16),"",(C100-B100)/(16-B100))</f>
        <v/>
      </c>
      <c r="F100" s="11" t="str">
        <f aca="false">IF(OR($A100="",COUNTIFS(Answers!$A$4:$A$203,$A100,Answers!$B$4:$B$203,"First")=0),"",SUMIFS(Answers!$AB$4:$AB$203,Answers!$A$4:$A$203,$A100,Answers!$B$4:$B$203,"First"))</f>
        <v/>
      </c>
      <c r="G100" s="11" t="str">
        <f aca="false">IF(OR($A100="",COUNTIFS(Answers!$A$4:$A$203,$A100,Answers!$B$4:$B$203,"Last")=0),"",SUMIFS(Answers!$AB$4:$AB$203,Answers!$A$4:$A$203,$A100,Answers!$B$4:$B$203,"Last"))</f>
        <v/>
      </c>
      <c r="H100" s="11" t="str">
        <f aca="false">IF(OR($A100="",COUNTIFS(Answers!$A$4:$A$203,$A100,Answers!$B$4:$B$203,"First")=0),"",SUMIFS(Answers!$AC$4:$AC$203,Answers!$A$4:$A$203,$A100,Answers!$B$4:$B$203,"First"))</f>
        <v/>
      </c>
      <c r="I100" s="11" t="str">
        <f aca="false">IF(OR($A100="",COUNTIFS(Answers!$A$4:$A$203,$A100,Answers!$B$4:$B$203,"Last")=0),"",SUMIFS(Answers!$AC$4:$AC$203,Answers!$A$4:$A$203,$A100,Answers!$B$4:$B$203,"Last"))</f>
        <v/>
      </c>
      <c r="J100" s="12" t="str">
        <f aca="false">IF(OR($A100="",COUNTIFS(Answers!$A$4:$A$203,$A100,Answers!$B$4:$B$203,"First")=0),"",SUMIFS(Answers!$AD$4:$AD$203,Answers!$A$4:$A$203,$A100,Answers!$B$4:$B$203,"First"))</f>
        <v/>
      </c>
      <c r="K100" s="12" t="str">
        <f aca="false">IF(OR($A100="",COUNTIFS(Answers!$A$4:$A$203,$A100,Answers!$B$4:$B$203,"Last")=0),"",SUMIFS(Answers!$AD$4:$AD$203,Answers!$A$4:$A$203,$A100,Answers!$B$4:$B$203,"Last"))</f>
        <v/>
      </c>
      <c r="L100" s="12" t="str">
        <f aca="false">IF(OR($A100="",COUNTIFS(Answers!$A$4:$A$203,$A100,Answers!$B$4:$B$203,"First")=0),"",SUMIFS(Answers!$AE$4:$AE$203,Answers!$A$4:$A$203,$A100,Answers!$B$4:$B$203,"First"))</f>
        <v/>
      </c>
      <c r="M100" s="12" t="str">
        <f aca="false">IF(OR($A100="",COUNTIFS(Answers!$A$4:$A$203,$A100,Answers!$B$4:$B$203,"Last")=0),"",SUMIFS(Answers!$AE$4:$AE$203,Answers!$A$4:$A$203,$A100,Answers!$B$4:$B$203,"Last"))</f>
        <v/>
      </c>
      <c r="N100" s="11" t="n">
        <f aca="false">IF(AND(B100&lt;&gt;"",C100&lt;&gt;""),1,0)</f>
        <v>0</v>
      </c>
      <c r="O100" s="11" t="str">
        <f aca="false">IF($A100="","",IF(MAX(COUNTIFS(Answers!$A$4:$A$203,$A100,Answers!$B$4:$B$203,"First"),COUNTIFS(Answers!$A$4:$A$203,$A100,Answers!$B$4:$B$203,"Last"))&gt;1,"Two rows for one session: keep one",IF(B100="","No first session",IF(C100="","No last session",""))))</f>
        <v/>
      </c>
    </row>
    <row r="101" customFormat="false" ht="15" hidden="false" customHeight="false" outlineLevel="0" collapsed="false">
      <c r="A101" s="9"/>
      <c r="B101" s="11" t="str">
        <f aca="false">IF(OR($A101="",COUNTIFS(Answers!$A$4:$A$203,$A101,Answers!$B$4:$B$203,"First")=0),"",SUMIFS(Answers!$AA$4:$AA$203,Answers!$A$4:$A$203,$A101,Answers!$B$4:$B$203,"First"))</f>
        <v/>
      </c>
      <c r="C101" s="11" t="str">
        <f aca="false">IF(OR($A101="",COUNTIFS(Answers!$A$4:$A$203,$A101,Answers!$B$4:$B$203,"Last")=0),"",SUMIFS(Answers!$AA$4:$AA$203,Answers!$A$4:$A$203,$A101,Answers!$B$4:$B$203,"Last"))</f>
        <v/>
      </c>
      <c r="D101" s="11" t="str">
        <f aca="false">IF(N101=1,C101-B101,"")</f>
        <v/>
      </c>
      <c r="E101" s="19" t="str">
        <f aca="false">IF(OR(N101&lt;&gt;1,B101=16),"",(C101-B101)/(16-B101))</f>
        <v/>
      </c>
      <c r="F101" s="11" t="str">
        <f aca="false">IF(OR($A101="",COUNTIFS(Answers!$A$4:$A$203,$A101,Answers!$B$4:$B$203,"First")=0),"",SUMIFS(Answers!$AB$4:$AB$203,Answers!$A$4:$A$203,$A101,Answers!$B$4:$B$203,"First"))</f>
        <v/>
      </c>
      <c r="G101" s="11" t="str">
        <f aca="false">IF(OR($A101="",COUNTIFS(Answers!$A$4:$A$203,$A101,Answers!$B$4:$B$203,"Last")=0),"",SUMIFS(Answers!$AB$4:$AB$203,Answers!$A$4:$A$203,$A101,Answers!$B$4:$B$203,"Last"))</f>
        <v/>
      </c>
      <c r="H101" s="11" t="str">
        <f aca="false">IF(OR($A101="",COUNTIFS(Answers!$A$4:$A$203,$A101,Answers!$B$4:$B$203,"First")=0),"",SUMIFS(Answers!$AC$4:$AC$203,Answers!$A$4:$A$203,$A101,Answers!$B$4:$B$203,"First"))</f>
        <v/>
      </c>
      <c r="I101" s="11" t="str">
        <f aca="false">IF(OR($A101="",COUNTIFS(Answers!$A$4:$A$203,$A101,Answers!$B$4:$B$203,"Last")=0),"",SUMIFS(Answers!$AC$4:$AC$203,Answers!$A$4:$A$203,$A101,Answers!$B$4:$B$203,"Last"))</f>
        <v/>
      </c>
      <c r="J101" s="12" t="str">
        <f aca="false">IF(OR($A101="",COUNTIFS(Answers!$A$4:$A$203,$A101,Answers!$B$4:$B$203,"First")=0),"",SUMIFS(Answers!$AD$4:$AD$203,Answers!$A$4:$A$203,$A101,Answers!$B$4:$B$203,"First"))</f>
        <v/>
      </c>
      <c r="K101" s="12" t="str">
        <f aca="false">IF(OR($A101="",COUNTIFS(Answers!$A$4:$A$203,$A101,Answers!$B$4:$B$203,"Last")=0),"",SUMIFS(Answers!$AD$4:$AD$203,Answers!$A$4:$A$203,$A101,Answers!$B$4:$B$203,"Last"))</f>
        <v/>
      </c>
      <c r="L101" s="12" t="str">
        <f aca="false">IF(OR($A101="",COUNTIFS(Answers!$A$4:$A$203,$A101,Answers!$B$4:$B$203,"First")=0),"",SUMIFS(Answers!$AE$4:$AE$203,Answers!$A$4:$A$203,$A101,Answers!$B$4:$B$203,"First"))</f>
        <v/>
      </c>
      <c r="M101" s="12" t="str">
        <f aca="false">IF(OR($A101="",COUNTIFS(Answers!$A$4:$A$203,$A101,Answers!$B$4:$B$203,"Last")=0),"",SUMIFS(Answers!$AE$4:$AE$203,Answers!$A$4:$A$203,$A101,Answers!$B$4:$B$203,"Last"))</f>
        <v/>
      </c>
      <c r="N101" s="11" t="n">
        <f aca="false">IF(AND(B101&lt;&gt;"",C101&lt;&gt;""),1,0)</f>
        <v>0</v>
      </c>
      <c r="O101" s="11" t="str">
        <f aca="false">IF($A101="","",IF(MAX(COUNTIFS(Answers!$A$4:$A$203,$A101,Answers!$B$4:$B$203,"First"),COUNTIFS(Answers!$A$4:$A$203,$A101,Answers!$B$4:$B$203,"Last"))&gt;1,"Two rows for one session: keep one",IF(B101="","No first session",IF(C101="","No last session",""))))</f>
        <v/>
      </c>
    </row>
    <row r="102" customFormat="false" ht="15" hidden="false" customHeight="false" outlineLevel="0" collapsed="false">
      <c r="A102" s="9"/>
      <c r="B102" s="11" t="str">
        <f aca="false">IF(OR($A102="",COUNTIFS(Answers!$A$4:$A$203,$A102,Answers!$B$4:$B$203,"First")=0),"",SUMIFS(Answers!$AA$4:$AA$203,Answers!$A$4:$A$203,$A102,Answers!$B$4:$B$203,"First"))</f>
        <v/>
      </c>
      <c r="C102" s="11" t="str">
        <f aca="false">IF(OR($A102="",COUNTIFS(Answers!$A$4:$A$203,$A102,Answers!$B$4:$B$203,"Last")=0),"",SUMIFS(Answers!$AA$4:$AA$203,Answers!$A$4:$A$203,$A102,Answers!$B$4:$B$203,"Last"))</f>
        <v/>
      </c>
      <c r="D102" s="11" t="str">
        <f aca="false">IF(N102=1,C102-B102,"")</f>
        <v/>
      </c>
      <c r="E102" s="19" t="str">
        <f aca="false">IF(OR(N102&lt;&gt;1,B102=16),"",(C102-B102)/(16-B102))</f>
        <v/>
      </c>
      <c r="F102" s="11" t="str">
        <f aca="false">IF(OR($A102="",COUNTIFS(Answers!$A$4:$A$203,$A102,Answers!$B$4:$B$203,"First")=0),"",SUMIFS(Answers!$AB$4:$AB$203,Answers!$A$4:$A$203,$A102,Answers!$B$4:$B$203,"First"))</f>
        <v/>
      </c>
      <c r="G102" s="11" t="str">
        <f aca="false">IF(OR($A102="",COUNTIFS(Answers!$A$4:$A$203,$A102,Answers!$B$4:$B$203,"Last")=0),"",SUMIFS(Answers!$AB$4:$AB$203,Answers!$A$4:$A$203,$A102,Answers!$B$4:$B$203,"Last"))</f>
        <v/>
      </c>
      <c r="H102" s="11" t="str">
        <f aca="false">IF(OR($A102="",COUNTIFS(Answers!$A$4:$A$203,$A102,Answers!$B$4:$B$203,"First")=0),"",SUMIFS(Answers!$AC$4:$AC$203,Answers!$A$4:$A$203,$A102,Answers!$B$4:$B$203,"First"))</f>
        <v/>
      </c>
      <c r="I102" s="11" t="str">
        <f aca="false">IF(OR($A102="",COUNTIFS(Answers!$A$4:$A$203,$A102,Answers!$B$4:$B$203,"Last")=0),"",SUMIFS(Answers!$AC$4:$AC$203,Answers!$A$4:$A$203,$A102,Answers!$B$4:$B$203,"Last"))</f>
        <v/>
      </c>
      <c r="J102" s="12" t="str">
        <f aca="false">IF(OR($A102="",COUNTIFS(Answers!$A$4:$A$203,$A102,Answers!$B$4:$B$203,"First")=0),"",SUMIFS(Answers!$AD$4:$AD$203,Answers!$A$4:$A$203,$A102,Answers!$B$4:$B$203,"First"))</f>
        <v/>
      </c>
      <c r="K102" s="12" t="str">
        <f aca="false">IF(OR($A102="",COUNTIFS(Answers!$A$4:$A$203,$A102,Answers!$B$4:$B$203,"Last")=0),"",SUMIFS(Answers!$AD$4:$AD$203,Answers!$A$4:$A$203,$A102,Answers!$B$4:$B$203,"Last"))</f>
        <v/>
      </c>
      <c r="L102" s="12" t="str">
        <f aca="false">IF(OR($A102="",COUNTIFS(Answers!$A$4:$A$203,$A102,Answers!$B$4:$B$203,"First")=0),"",SUMIFS(Answers!$AE$4:$AE$203,Answers!$A$4:$A$203,$A102,Answers!$B$4:$B$203,"First"))</f>
        <v/>
      </c>
      <c r="M102" s="12" t="str">
        <f aca="false">IF(OR($A102="",COUNTIFS(Answers!$A$4:$A$203,$A102,Answers!$B$4:$B$203,"Last")=0),"",SUMIFS(Answers!$AE$4:$AE$203,Answers!$A$4:$A$203,$A102,Answers!$B$4:$B$203,"Last"))</f>
        <v/>
      </c>
      <c r="N102" s="11" t="n">
        <f aca="false">IF(AND(B102&lt;&gt;"",C102&lt;&gt;""),1,0)</f>
        <v>0</v>
      </c>
      <c r="O102" s="11" t="str">
        <f aca="false">IF($A102="","",IF(MAX(COUNTIFS(Answers!$A$4:$A$203,$A102,Answers!$B$4:$B$203,"First"),COUNTIFS(Answers!$A$4:$A$203,$A102,Answers!$B$4:$B$203,"Last"))&gt;1,"Two rows for one session: keep one",IF(B102="","No first session",IF(C102="","No last session",""))))</f>
        <v/>
      </c>
    </row>
    <row r="103" customFormat="false" ht="15" hidden="false" customHeight="false" outlineLevel="0" collapsed="false">
      <c r="A103" s="9"/>
      <c r="B103" s="11" t="str">
        <f aca="false">IF(OR($A103="",COUNTIFS(Answers!$A$4:$A$203,$A103,Answers!$B$4:$B$203,"First")=0),"",SUMIFS(Answers!$AA$4:$AA$203,Answers!$A$4:$A$203,$A103,Answers!$B$4:$B$203,"First"))</f>
        <v/>
      </c>
      <c r="C103" s="11" t="str">
        <f aca="false">IF(OR($A103="",COUNTIFS(Answers!$A$4:$A$203,$A103,Answers!$B$4:$B$203,"Last")=0),"",SUMIFS(Answers!$AA$4:$AA$203,Answers!$A$4:$A$203,$A103,Answers!$B$4:$B$203,"Last"))</f>
        <v/>
      </c>
      <c r="D103" s="11" t="str">
        <f aca="false">IF(N103=1,C103-B103,"")</f>
        <v/>
      </c>
      <c r="E103" s="19" t="str">
        <f aca="false">IF(OR(N103&lt;&gt;1,B103=16),"",(C103-B103)/(16-B103))</f>
        <v/>
      </c>
      <c r="F103" s="11" t="str">
        <f aca="false">IF(OR($A103="",COUNTIFS(Answers!$A$4:$A$203,$A103,Answers!$B$4:$B$203,"First")=0),"",SUMIFS(Answers!$AB$4:$AB$203,Answers!$A$4:$A$203,$A103,Answers!$B$4:$B$203,"First"))</f>
        <v/>
      </c>
      <c r="G103" s="11" t="str">
        <f aca="false">IF(OR($A103="",COUNTIFS(Answers!$A$4:$A$203,$A103,Answers!$B$4:$B$203,"Last")=0),"",SUMIFS(Answers!$AB$4:$AB$203,Answers!$A$4:$A$203,$A103,Answers!$B$4:$B$203,"Last"))</f>
        <v/>
      </c>
      <c r="H103" s="11" t="str">
        <f aca="false">IF(OR($A103="",COUNTIFS(Answers!$A$4:$A$203,$A103,Answers!$B$4:$B$203,"First")=0),"",SUMIFS(Answers!$AC$4:$AC$203,Answers!$A$4:$A$203,$A103,Answers!$B$4:$B$203,"First"))</f>
        <v/>
      </c>
      <c r="I103" s="11" t="str">
        <f aca="false">IF(OR($A103="",COUNTIFS(Answers!$A$4:$A$203,$A103,Answers!$B$4:$B$203,"Last")=0),"",SUMIFS(Answers!$AC$4:$AC$203,Answers!$A$4:$A$203,$A103,Answers!$B$4:$B$203,"Last"))</f>
        <v/>
      </c>
      <c r="J103" s="12" t="str">
        <f aca="false">IF(OR($A103="",COUNTIFS(Answers!$A$4:$A$203,$A103,Answers!$B$4:$B$203,"First")=0),"",SUMIFS(Answers!$AD$4:$AD$203,Answers!$A$4:$A$203,$A103,Answers!$B$4:$B$203,"First"))</f>
        <v/>
      </c>
      <c r="K103" s="12" t="str">
        <f aca="false">IF(OR($A103="",COUNTIFS(Answers!$A$4:$A$203,$A103,Answers!$B$4:$B$203,"Last")=0),"",SUMIFS(Answers!$AD$4:$AD$203,Answers!$A$4:$A$203,$A103,Answers!$B$4:$B$203,"Last"))</f>
        <v/>
      </c>
      <c r="L103" s="12" t="str">
        <f aca="false">IF(OR($A103="",COUNTIFS(Answers!$A$4:$A$203,$A103,Answers!$B$4:$B$203,"First")=0),"",SUMIFS(Answers!$AE$4:$AE$203,Answers!$A$4:$A$203,$A103,Answers!$B$4:$B$203,"First"))</f>
        <v/>
      </c>
      <c r="M103" s="12" t="str">
        <f aca="false">IF(OR($A103="",COUNTIFS(Answers!$A$4:$A$203,$A103,Answers!$B$4:$B$203,"Last")=0),"",SUMIFS(Answers!$AE$4:$AE$203,Answers!$A$4:$A$203,$A103,Answers!$B$4:$B$203,"Last"))</f>
        <v/>
      </c>
      <c r="N103" s="11" t="n">
        <f aca="false">IF(AND(B103&lt;&gt;"",C103&lt;&gt;""),1,0)</f>
        <v>0</v>
      </c>
      <c r="O103" s="11" t="str">
        <f aca="false">IF($A103="","",IF(MAX(COUNTIFS(Answers!$A$4:$A$203,$A103,Answers!$B$4:$B$203,"First"),COUNTIFS(Answers!$A$4:$A$203,$A103,Answers!$B$4:$B$203,"Last"))&gt;1,"Two rows for one session: keep one",IF(B103="","No first session",IF(C103="","No last session",""))))</f>
        <v/>
      </c>
    </row>
    <row r="104" customFormat="false" ht="15" hidden="false" customHeight="false" outlineLevel="0" collapsed="false">
      <c r="A104" s="9"/>
      <c r="B104" s="11" t="str">
        <f aca="false">IF(OR($A104="",COUNTIFS(Answers!$A$4:$A$203,$A104,Answers!$B$4:$B$203,"First")=0),"",SUMIFS(Answers!$AA$4:$AA$203,Answers!$A$4:$A$203,$A104,Answers!$B$4:$B$203,"First"))</f>
        <v/>
      </c>
      <c r="C104" s="11" t="str">
        <f aca="false">IF(OR($A104="",COUNTIFS(Answers!$A$4:$A$203,$A104,Answers!$B$4:$B$203,"Last")=0),"",SUMIFS(Answers!$AA$4:$AA$203,Answers!$A$4:$A$203,$A104,Answers!$B$4:$B$203,"Last"))</f>
        <v/>
      </c>
      <c r="D104" s="11" t="str">
        <f aca="false">IF(N104=1,C104-B104,"")</f>
        <v/>
      </c>
      <c r="E104" s="19" t="str">
        <f aca="false">IF(OR(N104&lt;&gt;1,B104=16),"",(C104-B104)/(16-B104))</f>
        <v/>
      </c>
      <c r="F104" s="11" t="str">
        <f aca="false">IF(OR($A104="",COUNTIFS(Answers!$A$4:$A$203,$A104,Answers!$B$4:$B$203,"First")=0),"",SUMIFS(Answers!$AB$4:$AB$203,Answers!$A$4:$A$203,$A104,Answers!$B$4:$B$203,"First"))</f>
        <v/>
      </c>
      <c r="G104" s="11" t="str">
        <f aca="false">IF(OR($A104="",COUNTIFS(Answers!$A$4:$A$203,$A104,Answers!$B$4:$B$203,"Last")=0),"",SUMIFS(Answers!$AB$4:$AB$203,Answers!$A$4:$A$203,$A104,Answers!$B$4:$B$203,"Last"))</f>
        <v/>
      </c>
      <c r="H104" s="11" t="str">
        <f aca="false">IF(OR($A104="",COUNTIFS(Answers!$A$4:$A$203,$A104,Answers!$B$4:$B$203,"First")=0),"",SUMIFS(Answers!$AC$4:$AC$203,Answers!$A$4:$A$203,$A104,Answers!$B$4:$B$203,"First"))</f>
        <v/>
      </c>
      <c r="I104" s="11" t="str">
        <f aca="false">IF(OR($A104="",COUNTIFS(Answers!$A$4:$A$203,$A104,Answers!$B$4:$B$203,"Last")=0),"",SUMIFS(Answers!$AC$4:$AC$203,Answers!$A$4:$A$203,$A104,Answers!$B$4:$B$203,"Last"))</f>
        <v/>
      </c>
      <c r="J104" s="12" t="str">
        <f aca="false">IF(OR($A104="",COUNTIFS(Answers!$A$4:$A$203,$A104,Answers!$B$4:$B$203,"First")=0),"",SUMIFS(Answers!$AD$4:$AD$203,Answers!$A$4:$A$203,$A104,Answers!$B$4:$B$203,"First"))</f>
        <v/>
      </c>
      <c r="K104" s="12" t="str">
        <f aca="false">IF(OR($A104="",COUNTIFS(Answers!$A$4:$A$203,$A104,Answers!$B$4:$B$203,"Last")=0),"",SUMIFS(Answers!$AD$4:$AD$203,Answers!$A$4:$A$203,$A104,Answers!$B$4:$B$203,"Last"))</f>
        <v/>
      </c>
      <c r="L104" s="12" t="str">
        <f aca="false">IF(OR($A104="",COUNTIFS(Answers!$A$4:$A$203,$A104,Answers!$B$4:$B$203,"First")=0),"",SUMIFS(Answers!$AE$4:$AE$203,Answers!$A$4:$A$203,$A104,Answers!$B$4:$B$203,"First"))</f>
        <v/>
      </c>
      <c r="M104" s="12" t="str">
        <f aca="false">IF(OR($A104="",COUNTIFS(Answers!$A$4:$A$203,$A104,Answers!$B$4:$B$203,"Last")=0),"",SUMIFS(Answers!$AE$4:$AE$203,Answers!$A$4:$A$203,$A104,Answers!$B$4:$B$203,"Last"))</f>
        <v/>
      </c>
      <c r="N104" s="11" t="n">
        <f aca="false">IF(AND(B104&lt;&gt;"",C104&lt;&gt;""),1,0)</f>
        <v>0</v>
      </c>
      <c r="O104" s="11" t="str">
        <f aca="false">IF($A104="","",IF(MAX(COUNTIFS(Answers!$A$4:$A$203,$A104,Answers!$B$4:$B$203,"First"),COUNTIFS(Answers!$A$4:$A$203,$A104,Answers!$B$4:$B$203,"Last"))&gt;1,"Two rows for one session: keep one",IF(B104="","No first session",IF(C104="","No last session",""))))</f>
        <v/>
      </c>
    </row>
    <row r="105" customFormat="false" ht="15" hidden="false" customHeight="false" outlineLevel="0" collapsed="false">
      <c r="A105" s="9"/>
      <c r="B105" s="11" t="str">
        <f aca="false">IF(OR($A105="",COUNTIFS(Answers!$A$4:$A$203,$A105,Answers!$B$4:$B$203,"First")=0),"",SUMIFS(Answers!$AA$4:$AA$203,Answers!$A$4:$A$203,$A105,Answers!$B$4:$B$203,"First"))</f>
        <v/>
      </c>
      <c r="C105" s="11" t="str">
        <f aca="false">IF(OR($A105="",COUNTIFS(Answers!$A$4:$A$203,$A105,Answers!$B$4:$B$203,"Last")=0),"",SUMIFS(Answers!$AA$4:$AA$203,Answers!$A$4:$A$203,$A105,Answers!$B$4:$B$203,"Last"))</f>
        <v/>
      </c>
      <c r="D105" s="11" t="str">
        <f aca="false">IF(N105=1,C105-B105,"")</f>
        <v/>
      </c>
      <c r="E105" s="19" t="str">
        <f aca="false">IF(OR(N105&lt;&gt;1,B105=16),"",(C105-B105)/(16-B105))</f>
        <v/>
      </c>
      <c r="F105" s="11" t="str">
        <f aca="false">IF(OR($A105="",COUNTIFS(Answers!$A$4:$A$203,$A105,Answers!$B$4:$B$203,"First")=0),"",SUMIFS(Answers!$AB$4:$AB$203,Answers!$A$4:$A$203,$A105,Answers!$B$4:$B$203,"First"))</f>
        <v/>
      </c>
      <c r="G105" s="11" t="str">
        <f aca="false">IF(OR($A105="",COUNTIFS(Answers!$A$4:$A$203,$A105,Answers!$B$4:$B$203,"Last")=0),"",SUMIFS(Answers!$AB$4:$AB$203,Answers!$A$4:$A$203,$A105,Answers!$B$4:$B$203,"Last"))</f>
        <v/>
      </c>
      <c r="H105" s="11" t="str">
        <f aca="false">IF(OR($A105="",COUNTIFS(Answers!$A$4:$A$203,$A105,Answers!$B$4:$B$203,"First")=0),"",SUMIFS(Answers!$AC$4:$AC$203,Answers!$A$4:$A$203,$A105,Answers!$B$4:$B$203,"First"))</f>
        <v/>
      </c>
      <c r="I105" s="11" t="str">
        <f aca="false">IF(OR($A105="",COUNTIFS(Answers!$A$4:$A$203,$A105,Answers!$B$4:$B$203,"Last")=0),"",SUMIFS(Answers!$AC$4:$AC$203,Answers!$A$4:$A$203,$A105,Answers!$B$4:$B$203,"Last"))</f>
        <v/>
      </c>
      <c r="J105" s="12" t="str">
        <f aca="false">IF(OR($A105="",COUNTIFS(Answers!$A$4:$A$203,$A105,Answers!$B$4:$B$203,"First")=0),"",SUMIFS(Answers!$AD$4:$AD$203,Answers!$A$4:$A$203,$A105,Answers!$B$4:$B$203,"First"))</f>
        <v/>
      </c>
      <c r="K105" s="12" t="str">
        <f aca="false">IF(OR($A105="",COUNTIFS(Answers!$A$4:$A$203,$A105,Answers!$B$4:$B$203,"Last")=0),"",SUMIFS(Answers!$AD$4:$AD$203,Answers!$A$4:$A$203,$A105,Answers!$B$4:$B$203,"Last"))</f>
        <v/>
      </c>
      <c r="L105" s="12" t="str">
        <f aca="false">IF(OR($A105="",COUNTIFS(Answers!$A$4:$A$203,$A105,Answers!$B$4:$B$203,"First")=0),"",SUMIFS(Answers!$AE$4:$AE$203,Answers!$A$4:$A$203,$A105,Answers!$B$4:$B$203,"First"))</f>
        <v/>
      </c>
      <c r="M105" s="12" t="str">
        <f aca="false">IF(OR($A105="",COUNTIFS(Answers!$A$4:$A$203,$A105,Answers!$B$4:$B$203,"Last")=0),"",SUMIFS(Answers!$AE$4:$AE$203,Answers!$A$4:$A$203,$A105,Answers!$B$4:$B$203,"Last"))</f>
        <v/>
      </c>
      <c r="N105" s="11" t="n">
        <f aca="false">IF(AND(B105&lt;&gt;"",C105&lt;&gt;""),1,0)</f>
        <v>0</v>
      </c>
      <c r="O105" s="11" t="str">
        <f aca="false">IF($A105="","",IF(MAX(COUNTIFS(Answers!$A$4:$A$203,$A105,Answers!$B$4:$B$203,"First"),COUNTIFS(Answers!$A$4:$A$203,$A105,Answers!$B$4:$B$203,"Last"))&gt;1,"Two rows for one session: keep one",IF(B105="","No first session",IF(C105="","No last session",""))))</f>
        <v/>
      </c>
    </row>
    <row r="106" customFormat="false" ht="15" hidden="false" customHeight="false" outlineLevel="0" collapsed="false">
      <c r="A106" s="9"/>
      <c r="B106" s="11" t="str">
        <f aca="false">IF(OR($A106="",COUNTIFS(Answers!$A$4:$A$203,$A106,Answers!$B$4:$B$203,"First")=0),"",SUMIFS(Answers!$AA$4:$AA$203,Answers!$A$4:$A$203,$A106,Answers!$B$4:$B$203,"First"))</f>
        <v/>
      </c>
      <c r="C106" s="11" t="str">
        <f aca="false">IF(OR($A106="",COUNTIFS(Answers!$A$4:$A$203,$A106,Answers!$B$4:$B$203,"Last")=0),"",SUMIFS(Answers!$AA$4:$AA$203,Answers!$A$4:$A$203,$A106,Answers!$B$4:$B$203,"Last"))</f>
        <v/>
      </c>
      <c r="D106" s="11" t="str">
        <f aca="false">IF(N106=1,C106-B106,"")</f>
        <v/>
      </c>
      <c r="E106" s="19" t="str">
        <f aca="false">IF(OR(N106&lt;&gt;1,B106=16),"",(C106-B106)/(16-B106))</f>
        <v/>
      </c>
      <c r="F106" s="11" t="str">
        <f aca="false">IF(OR($A106="",COUNTIFS(Answers!$A$4:$A$203,$A106,Answers!$B$4:$B$203,"First")=0),"",SUMIFS(Answers!$AB$4:$AB$203,Answers!$A$4:$A$203,$A106,Answers!$B$4:$B$203,"First"))</f>
        <v/>
      </c>
      <c r="G106" s="11" t="str">
        <f aca="false">IF(OR($A106="",COUNTIFS(Answers!$A$4:$A$203,$A106,Answers!$B$4:$B$203,"Last")=0),"",SUMIFS(Answers!$AB$4:$AB$203,Answers!$A$4:$A$203,$A106,Answers!$B$4:$B$203,"Last"))</f>
        <v/>
      </c>
      <c r="H106" s="11" t="str">
        <f aca="false">IF(OR($A106="",COUNTIFS(Answers!$A$4:$A$203,$A106,Answers!$B$4:$B$203,"First")=0),"",SUMIFS(Answers!$AC$4:$AC$203,Answers!$A$4:$A$203,$A106,Answers!$B$4:$B$203,"First"))</f>
        <v/>
      </c>
      <c r="I106" s="11" t="str">
        <f aca="false">IF(OR($A106="",COUNTIFS(Answers!$A$4:$A$203,$A106,Answers!$B$4:$B$203,"Last")=0),"",SUMIFS(Answers!$AC$4:$AC$203,Answers!$A$4:$A$203,$A106,Answers!$B$4:$B$203,"Last"))</f>
        <v/>
      </c>
      <c r="J106" s="12" t="str">
        <f aca="false">IF(OR($A106="",COUNTIFS(Answers!$A$4:$A$203,$A106,Answers!$B$4:$B$203,"First")=0),"",SUMIFS(Answers!$AD$4:$AD$203,Answers!$A$4:$A$203,$A106,Answers!$B$4:$B$203,"First"))</f>
        <v/>
      </c>
      <c r="K106" s="12" t="str">
        <f aca="false">IF(OR($A106="",COUNTIFS(Answers!$A$4:$A$203,$A106,Answers!$B$4:$B$203,"Last")=0),"",SUMIFS(Answers!$AD$4:$AD$203,Answers!$A$4:$A$203,$A106,Answers!$B$4:$B$203,"Last"))</f>
        <v/>
      </c>
      <c r="L106" s="12" t="str">
        <f aca="false">IF(OR($A106="",COUNTIFS(Answers!$A$4:$A$203,$A106,Answers!$B$4:$B$203,"First")=0),"",SUMIFS(Answers!$AE$4:$AE$203,Answers!$A$4:$A$203,$A106,Answers!$B$4:$B$203,"First"))</f>
        <v/>
      </c>
      <c r="M106" s="12" t="str">
        <f aca="false">IF(OR($A106="",COUNTIFS(Answers!$A$4:$A$203,$A106,Answers!$B$4:$B$203,"Last")=0),"",SUMIFS(Answers!$AE$4:$AE$203,Answers!$A$4:$A$203,$A106,Answers!$B$4:$B$203,"Last"))</f>
        <v/>
      </c>
      <c r="N106" s="11" t="n">
        <f aca="false">IF(AND(B106&lt;&gt;"",C106&lt;&gt;""),1,0)</f>
        <v>0</v>
      </c>
      <c r="O106" s="11" t="str">
        <f aca="false">IF($A106="","",IF(MAX(COUNTIFS(Answers!$A$4:$A$203,$A106,Answers!$B$4:$B$203,"First"),COUNTIFS(Answers!$A$4:$A$203,$A106,Answers!$B$4:$B$203,"Last"))&gt;1,"Two rows for one session: keep one",IF(B106="","No first session",IF(C106="","No last session",""))))</f>
        <v/>
      </c>
    </row>
    <row r="107" customFormat="false" ht="15" hidden="false" customHeight="false" outlineLevel="0" collapsed="false">
      <c r="A107" s="9"/>
      <c r="B107" s="11" t="str">
        <f aca="false">IF(OR($A107="",COUNTIFS(Answers!$A$4:$A$203,$A107,Answers!$B$4:$B$203,"First")=0),"",SUMIFS(Answers!$AA$4:$AA$203,Answers!$A$4:$A$203,$A107,Answers!$B$4:$B$203,"First"))</f>
        <v/>
      </c>
      <c r="C107" s="11" t="str">
        <f aca="false">IF(OR($A107="",COUNTIFS(Answers!$A$4:$A$203,$A107,Answers!$B$4:$B$203,"Last")=0),"",SUMIFS(Answers!$AA$4:$AA$203,Answers!$A$4:$A$203,$A107,Answers!$B$4:$B$203,"Last"))</f>
        <v/>
      </c>
      <c r="D107" s="11" t="str">
        <f aca="false">IF(N107=1,C107-B107,"")</f>
        <v/>
      </c>
      <c r="E107" s="19" t="str">
        <f aca="false">IF(OR(N107&lt;&gt;1,B107=16),"",(C107-B107)/(16-B107))</f>
        <v/>
      </c>
      <c r="F107" s="11" t="str">
        <f aca="false">IF(OR($A107="",COUNTIFS(Answers!$A$4:$A$203,$A107,Answers!$B$4:$B$203,"First")=0),"",SUMIFS(Answers!$AB$4:$AB$203,Answers!$A$4:$A$203,$A107,Answers!$B$4:$B$203,"First"))</f>
        <v/>
      </c>
      <c r="G107" s="11" t="str">
        <f aca="false">IF(OR($A107="",COUNTIFS(Answers!$A$4:$A$203,$A107,Answers!$B$4:$B$203,"Last")=0),"",SUMIFS(Answers!$AB$4:$AB$203,Answers!$A$4:$A$203,$A107,Answers!$B$4:$B$203,"Last"))</f>
        <v/>
      </c>
      <c r="H107" s="11" t="str">
        <f aca="false">IF(OR($A107="",COUNTIFS(Answers!$A$4:$A$203,$A107,Answers!$B$4:$B$203,"First")=0),"",SUMIFS(Answers!$AC$4:$AC$203,Answers!$A$4:$A$203,$A107,Answers!$B$4:$B$203,"First"))</f>
        <v/>
      </c>
      <c r="I107" s="11" t="str">
        <f aca="false">IF(OR($A107="",COUNTIFS(Answers!$A$4:$A$203,$A107,Answers!$B$4:$B$203,"Last")=0),"",SUMIFS(Answers!$AC$4:$AC$203,Answers!$A$4:$A$203,$A107,Answers!$B$4:$B$203,"Last"))</f>
        <v/>
      </c>
      <c r="J107" s="12" t="str">
        <f aca="false">IF(OR($A107="",COUNTIFS(Answers!$A$4:$A$203,$A107,Answers!$B$4:$B$203,"First")=0),"",SUMIFS(Answers!$AD$4:$AD$203,Answers!$A$4:$A$203,$A107,Answers!$B$4:$B$203,"First"))</f>
        <v/>
      </c>
      <c r="K107" s="12" t="str">
        <f aca="false">IF(OR($A107="",COUNTIFS(Answers!$A$4:$A$203,$A107,Answers!$B$4:$B$203,"Last")=0),"",SUMIFS(Answers!$AD$4:$AD$203,Answers!$A$4:$A$203,$A107,Answers!$B$4:$B$203,"Last"))</f>
        <v/>
      </c>
      <c r="L107" s="12" t="str">
        <f aca="false">IF(OR($A107="",COUNTIFS(Answers!$A$4:$A$203,$A107,Answers!$B$4:$B$203,"First")=0),"",SUMIFS(Answers!$AE$4:$AE$203,Answers!$A$4:$A$203,$A107,Answers!$B$4:$B$203,"First"))</f>
        <v/>
      </c>
      <c r="M107" s="12" t="str">
        <f aca="false">IF(OR($A107="",COUNTIFS(Answers!$A$4:$A$203,$A107,Answers!$B$4:$B$203,"Last")=0),"",SUMIFS(Answers!$AE$4:$AE$203,Answers!$A$4:$A$203,$A107,Answers!$B$4:$B$203,"Last"))</f>
        <v/>
      </c>
      <c r="N107" s="11" t="n">
        <f aca="false">IF(AND(B107&lt;&gt;"",C107&lt;&gt;""),1,0)</f>
        <v>0</v>
      </c>
      <c r="O107" s="11" t="str">
        <f aca="false">IF($A107="","",IF(MAX(COUNTIFS(Answers!$A$4:$A$203,$A107,Answers!$B$4:$B$203,"First"),COUNTIFS(Answers!$A$4:$A$203,$A107,Answers!$B$4:$B$203,"Last"))&gt;1,"Two rows for one session: keep one",IF(B107="","No first session",IF(C107="","No last session",""))))</f>
        <v/>
      </c>
    </row>
    <row r="108" customFormat="false" ht="15" hidden="false" customHeight="false" outlineLevel="0" collapsed="false">
      <c r="A108" s="9"/>
      <c r="B108" s="11" t="str">
        <f aca="false">IF(OR($A108="",COUNTIFS(Answers!$A$4:$A$203,$A108,Answers!$B$4:$B$203,"First")=0),"",SUMIFS(Answers!$AA$4:$AA$203,Answers!$A$4:$A$203,$A108,Answers!$B$4:$B$203,"First"))</f>
        <v/>
      </c>
      <c r="C108" s="11" t="str">
        <f aca="false">IF(OR($A108="",COUNTIFS(Answers!$A$4:$A$203,$A108,Answers!$B$4:$B$203,"Last")=0),"",SUMIFS(Answers!$AA$4:$AA$203,Answers!$A$4:$A$203,$A108,Answers!$B$4:$B$203,"Last"))</f>
        <v/>
      </c>
      <c r="D108" s="11" t="str">
        <f aca="false">IF(N108=1,C108-B108,"")</f>
        <v/>
      </c>
      <c r="E108" s="19" t="str">
        <f aca="false">IF(OR(N108&lt;&gt;1,B108=16),"",(C108-B108)/(16-B108))</f>
        <v/>
      </c>
      <c r="F108" s="11" t="str">
        <f aca="false">IF(OR($A108="",COUNTIFS(Answers!$A$4:$A$203,$A108,Answers!$B$4:$B$203,"First")=0),"",SUMIFS(Answers!$AB$4:$AB$203,Answers!$A$4:$A$203,$A108,Answers!$B$4:$B$203,"First"))</f>
        <v/>
      </c>
      <c r="G108" s="11" t="str">
        <f aca="false">IF(OR($A108="",COUNTIFS(Answers!$A$4:$A$203,$A108,Answers!$B$4:$B$203,"Last")=0),"",SUMIFS(Answers!$AB$4:$AB$203,Answers!$A$4:$A$203,$A108,Answers!$B$4:$B$203,"Last"))</f>
        <v/>
      </c>
      <c r="H108" s="11" t="str">
        <f aca="false">IF(OR($A108="",COUNTIFS(Answers!$A$4:$A$203,$A108,Answers!$B$4:$B$203,"First")=0),"",SUMIFS(Answers!$AC$4:$AC$203,Answers!$A$4:$A$203,$A108,Answers!$B$4:$B$203,"First"))</f>
        <v/>
      </c>
      <c r="I108" s="11" t="str">
        <f aca="false">IF(OR($A108="",COUNTIFS(Answers!$A$4:$A$203,$A108,Answers!$B$4:$B$203,"Last")=0),"",SUMIFS(Answers!$AC$4:$AC$203,Answers!$A$4:$A$203,$A108,Answers!$B$4:$B$203,"Last"))</f>
        <v/>
      </c>
      <c r="J108" s="12" t="str">
        <f aca="false">IF(OR($A108="",COUNTIFS(Answers!$A$4:$A$203,$A108,Answers!$B$4:$B$203,"First")=0),"",SUMIFS(Answers!$AD$4:$AD$203,Answers!$A$4:$A$203,$A108,Answers!$B$4:$B$203,"First"))</f>
        <v/>
      </c>
      <c r="K108" s="12" t="str">
        <f aca="false">IF(OR($A108="",COUNTIFS(Answers!$A$4:$A$203,$A108,Answers!$B$4:$B$203,"Last")=0),"",SUMIFS(Answers!$AD$4:$AD$203,Answers!$A$4:$A$203,$A108,Answers!$B$4:$B$203,"Last"))</f>
        <v/>
      </c>
      <c r="L108" s="12" t="str">
        <f aca="false">IF(OR($A108="",COUNTIFS(Answers!$A$4:$A$203,$A108,Answers!$B$4:$B$203,"First")=0),"",SUMIFS(Answers!$AE$4:$AE$203,Answers!$A$4:$A$203,$A108,Answers!$B$4:$B$203,"First"))</f>
        <v/>
      </c>
      <c r="M108" s="12" t="str">
        <f aca="false">IF(OR($A108="",COUNTIFS(Answers!$A$4:$A$203,$A108,Answers!$B$4:$B$203,"Last")=0),"",SUMIFS(Answers!$AE$4:$AE$203,Answers!$A$4:$A$203,$A108,Answers!$B$4:$B$203,"Last"))</f>
        <v/>
      </c>
      <c r="N108" s="11" t="n">
        <f aca="false">IF(AND(B108&lt;&gt;"",C108&lt;&gt;""),1,0)</f>
        <v>0</v>
      </c>
      <c r="O108" s="11" t="str">
        <f aca="false">IF($A108="","",IF(MAX(COUNTIFS(Answers!$A$4:$A$203,$A108,Answers!$B$4:$B$203,"First"),COUNTIFS(Answers!$A$4:$A$203,$A108,Answers!$B$4:$B$203,"Last"))&gt;1,"Two rows for one session: keep one",IF(B108="","No first session",IF(C108="","No last session",""))))</f>
        <v/>
      </c>
    </row>
    <row r="109" customFormat="false" ht="15" hidden="false" customHeight="false" outlineLevel="0" collapsed="false">
      <c r="A109" s="9"/>
      <c r="B109" s="11" t="str">
        <f aca="false">IF(OR($A109="",COUNTIFS(Answers!$A$4:$A$203,$A109,Answers!$B$4:$B$203,"First")=0),"",SUMIFS(Answers!$AA$4:$AA$203,Answers!$A$4:$A$203,$A109,Answers!$B$4:$B$203,"First"))</f>
        <v/>
      </c>
      <c r="C109" s="11" t="str">
        <f aca="false">IF(OR($A109="",COUNTIFS(Answers!$A$4:$A$203,$A109,Answers!$B$4:$B$203,"Last")=0),"",SUMIFS(Answers!$AA$4:$AA$203,Answers!$A$4:$A$203,$A109,Answers!$B$4:$B$203,"Last"))</f>
        <v/>
      </c>
      <c r="D109" s="11" t="str">
        <f aca="false">IF(N109=1,C109-B109,"")</f>
        <v/>
      </c>
      <c r="E109" s="19" t="str">
        <f aca="false">IF(OR(N109&lt;&gt;1,B109=16),"",(C109-B109)/(16-B109))</f>
        <v/>
      </c>
      <c r="F109" s="11" t="str">
        <f aca="false">IF(OR($A109="",COUNTIFS(Answers!$A$4:$A$203,$A109,Answers!$B$4:$B$203,"First")=0),"",SUMIFS(Answers!$AB$4:$AB$203,Answers!$A$4:$A$203,$A109,Answers!$B$4:$B$203,"First"))</f>
        <v/>
      </c>
      <c r="G109" s="11" t="str">
        <f aca="false">IF(OR($A109="",COUNTIFS(Answers!$A$4:$A$203,$A109,Answers!$B$4:$B$203,"Last")=0),"",SUMIFS(Answers!$AB$4:$AB$203,Answers!$A$4:$A$203,$A109,Answers!$B$4:$B$203,"Last"))</f>
        <v/>
      </c>
      <c r="H109" s="11" t="str">
        <f aca="false">IF(OR($A109="",COUNTIFS(Answers!$A$4:$A$203,$A109,Answers!$B$4:$B$203,"First")=0),"",SUMIFS(Answers!$AC$4:$AC$203,Answers!$A$4:$A$203,$A109,Answers!$B$4:$B$203,"First"))</f>
        <v/>
      </c>
      <c r="I109" s="11" t="str">
        <f aca="false">IF(OR($A109="",COUNTIFS(Answers!$A$4:$A$203,$A109,Answers!$B$4:$B$203,"Last")=0),"",SUMIFS(Answers!$AC$4:$AC$203,Answers!$A$4:$A$203,$A109,Answers!$B$4:$B$203,"Last"))</f>
        <v/>
      </c>
      <c r="J109" s="12" t="str">
        <f aca="false">IF(OR($A109="",COUNTIFS(Answers!$A$4:$A$203,$A109,Answers!$B$4:$B$203,"First")=0),"",SUMIFS(Answers!$AD$4:$AD$203,Answers!$A$4:$A$203,$A109,Answers!$B$4:$B$203,"First"))</f>
        <v/>
      </c>
      <c r="K109" s="12" t="str">
        <f aca="false">IF(OR($A109="",COUNTIFS(Answers!$A$4:$A$203,$A109,Answers!$B$4:$B$203,"Last")=0),"",SUMIFS(Answers!$AD$4:$AD$203,Answers!$A$4:$A$203,$A109,Answers!$B$4:$B$203,"Last"))</f>
        <v/>
      </c>
      <c r="L109" s="12" t="str">
        <f aca="false">IF(OR($A109="",COUNTIFS(Answers!$A$4:$A$203,$A109,Answers!$B$4:$B$203,"First")=0),"",SUMIFS(Answers!$AE$4:$AE$203,Answers!$A$4:$A$203,$A109,Answers!$B$4:$B$203,"First"))</f>
        <v/>
      </c>
      <c r="M109" s="12" t="str">
        <f aca="false">IF(OR($A109="",COUNTIFS(Answers!$A$4:$A$203,$A109,Answers!$B$4:$B$203,"Last")=0),"",SUMIFS(Answers!$AE$4:$AE$203,Answers!$A$4:$A$203,$A109,Answers!$B$4:$B$203,"Last"))</f>
        <v/>
      </c>
      <c r="N109" s="11" t="n">
        <f aca="false">IF(AND(B109&lt;&gt;"",C109&lt;&gt;""),1,0)</f>
        <v>0</v>
      </c>
      <c r="O109" s="11" t="str">
        <f aca="false">IF($A109="","",IF(MAX(COUNTIFS(Answers!$A$4:$A$203,$A109,Answers!$B$4:$B$203,"First"),COUNTIFS(Answers!$A$4:$A$203,$A109,Answers!$B$4:$B$203,"Last"))&gt;1,"Two rows for one session: keep one",IF(B109="","No first session",IF(C109="","No last session",""))))</f>
        <v/>
      </c>
    </row>
    <row r="110" customFormat="false" ht="15" hidden="false" customHeight="false" outlineLevel="0" collapsed="false">
      <c r="A110" s="9"/>
      <c r="B110" s="11" t="str">
        <f aca="false">IF(OR($A110="",COUNTIFS(Answers!$A$4:$A$203,$A110,Answers!$B$4:$B$203,"First")=0),"",SUMIFS(Answers!$AA$4:$AA$203,Answers!$A$4:$A$203,$A110,Answers!$B$4:$B$203,"First"))</f>
        <v/>
      </c>
      <c r="C110" s="11" t="str">
        <f aca="false">IF(OR($A110="",COUNTIFS(Answers!$A$4:$A$203,$A110,Answers!$B$4:$B$203,"Last")=0),"",SUMIFS(Answers!$AA$4:$AA$203,Answers!$A$4:$A$203,$A110,Answers!$B$4:$B$203,"Last"))</f>
        <v/>
      </c>
      <c r="D110" s="11" t="str">
        <f aca="false">IF(N110=1,C110-B110,"")</f>
        <v/>
      </c>
      <c r="E110" s="19" t="str">
        <f aca="false">IF(OR(N110&lt;&gt;1,B110=16),"",(C110-B110)/(16-B110))</f>
        <v/>
      </c>
      <c r="F110" s="11" t="str">
        <f aca="false">IF(OR($A110="",COUNTIFS(Answers!$A$4:$A$203,$A110,Answers!$B$4:$B$203,"First")=0),"",SUMIFS(Answers!$AB$4:$AB$203,Answers!$A$4:$A$203,$A110,Answers!$B$4:$B$203,"First"))</f>
        <v/>
      </c>
      <c r="G110" s="11" t="str">
        <f aca="false">IF(OR($A110="",COUNTIFS(Answers!$A$4:$A$203,$A110,Answers!$B$4:$B$203,"Last")=0),"",SUMIFS(Answers!$AB$4:$AB$203,Answers!$A$4:$A$203,$A110,Answers!$B$4:$B$203,"Last"))</f>
        <v/>
      </c>
      <c r="H110" s="11" t="str">
        <f aca="false">IF(OR($A110="",COUNTIFS(Answers!$A$4:$A$203,$A110,Answers!$B$4:$B$203,"First")=0),"",SUMIFS(Answers!$AC$4:$AC$203,Answers!$A$4:$A$203,$A110,Answers!$B$4:$B$203,"First"))</f>
        <v/>
      </c>
      <c r="I110" s="11" t="str">
        <f aca="false">IF(OR($A110="",COUNTIFS(Answers!$A$4:$A$203,$A110,Answers!$B$4:$B$203,"Last")=0),"",SUMIFS(Answers!$AC$4:$AC$203,Answers!$A$4:$A$203,$A110,Answers!$B$4:$B$203,"Last"))</f>
        <v/>
      </c>
      <c r="J110" s="12" t="str">
        <f aca="false">IF(OR($A110="",COUNTIFS(Answers!$A$4:$A$203,$A110,Answers!$B$4:$B$203,"First")=0),"",SUMIFS(Answers!$AD$4:$AD$203,Answers!$A$4:$A$203,$A110,Answers!$B$4:$B$203,"First"))</f>
        <v/>
      </c>
      <c r="K110" s="12" t="str">
        <f aca="false">IF(OR($A110="",COUNTIFS(Answers!$A$4:$A$203,$A110,Answers!$B$4:$B$203,"Last")=0),"",SUMIFS(Answers!$AD$4:$AD$203,Answers!$A$4:$A$203,$A110,Answers!$B$4:$B$203,"Last"))</f>
        <v/>
      </c>
      <c r="L110" s="12" t="str">
        <f aca="false">IF(OR($A110="",COUNTIFS(Answers!$A$4:$A$203,$A110,Answers!$B$4:$B$203,"First")=0),"",SUMIFS(Answers!$AE$4:$AE$203,Answers!$A$4:$A$203,$A110,Answers!$B$4:$B$203,"First"))</f>
        <v/>
      </c>
      <c r="M110" s="12" t="str">
        <f aca="false">IF(OR($A110="",COUNTIFS(Answers!$A$4:$A$203,$A110,Answers!$B$4:$B$203,"Last")=0),"",SUMIFS(Answers!$AE$4:$AE$203,Answers!$A$4:$A$203,$A110,Answers!$B$4:$B$203,"Last"))</f>
        <v/>
      </c>
      <c r="N110" s="11" t="n">
        <f aca="false">IF(AND(B110&lt;&gt;"",C110&lt;&gt;""),1,0)</f>
        <v>0</v>
      </c>
      <c r="O110" s="11" t="str">
        <f aca="false">IF($A110="","",IF(MAX(COUNTIFS(Answers!$A$4:$A$203,$A110,Answers!$B$4:$B$203,"First"),COUNTIFS(Answers!$A$4:$A$203,$A110,Answers!$B$4:$B$203,"Last"))&gt;1,"Two rows for one session: keep one",IF(B110="","No first session",IF(C110="","No last session",""))))</f>
        <v/>
      </c>
    </row>
    <row r="111" customFormat="false" ht="15" hidden="false" customHeight="false" outlineLevel="0" collapsed="false">
      <c r="A111" s="9"/>
      <c r="B111" s="11" t="str">
        <f aca="false">IF(OR($A111="",COUNTIFS(Answers!$A$4:$A$203,$A111,Answers!$B$4:$B$203,"First")=0),"",SUMIFS(Answers!$AA$4:$AA$203,Answers!$A$4:$A$203,$A111,Answers!$B$4:$B$203,"First"))</f>
        <v/>
      </c>
      <c r="C111" s="11" t="str">
        <f aca="false">IF(OR($A111="",COUNTIFS(Answers!$A$4:$A$203,$A111,Answers!$B$4:$B$203,"Last")=0),"",SUMIFS(Answers!$AA$4:$AA$203,Answers!$A$4:$A$203,$A111,Answers!$B$4:$B$203,"Last"))</f>
        <v/>
      </c>
      <c r="D111" s="11" t="str">
        <f aca="false">IF(N111=1,C111-B111,"")</f>
        <v/>
      </c>
      <c r="E111" s="19" t="str">
        <f aca="false">IF(OR(N111&lt;&gt;1,B111=16),"",(C111-B111)/(16-B111))</f>
        <v/>
      </c>
      <c r="F111" s="11" t="str">
        <f aca="false">IF(OR($A111="",COUNTIFS(Answers!$A$4:$A$203,$A111,Answers!$B$4:$B$203,"First")=0),"",SUMIFS(Answers!$AB$4:$AB$203,Answers!$A$4:$A$203,$A111,Answers!$B$4:$B$203,"First"))</f>
        <v/>
      </c>
      <c r="G111" s="11" t="str">
        <f aca="false">IF(OR($A111="",COUNTIFS(Answers!$A$4:$A$203,$A111,Answers!$B$4:$B$203,"Last")=0),"",SUMIFS(Answers!$AB$4:$AB$203,Answers!$A$4:$A$203,$A111,Answers!$B$4:$B$203,"Last"))</f>
        <v/>
      </c>
      <c r="H111" s="11" t="str">
        <f aca="false">IF(OR($A111="",COUNTIFS(Answers!$A$4:$A$203,$A111,Answers!$B$4:$B$203,"First")=0),"",SUMIFS(Answers!$AC$4:$AC$203,Answers!$A$4:$A$203,$A111,Answers!$B$4:$B$203,"First"))</f>
        <v/>
      </c>
      <c r="I111" s="11" t="str">
        <f aca="false">IF(OR($A111="",COUNTIFS(Answers!$A$4:$A$203,$A111,Answers!$B$4:$B$203,"Last")=0),"",SUMIFS(Answers!$AC$4:$AC$203,Answers!$A$4:$A$203,$A111,Answers!$B$4:$B$203,"Last"))</f>
        <v/>
      </c>
      <c r="J111" s="12" t="str">
        <f aca="false">IF(OR($A111="",COUNTIFS(Answers!$A$4:$A$203,$A111,Answers!$B$4:$B$203,"First")=0),"",SUMIFS(Answers!$AD$4:$AD$203,Answers!$A$4:$A$203,$A111,Answers!$B$4:$B$203,"First"))</f>
        <v/>
      </c>
      <c r="K111" s="12" t="str">
        <f aca="false">IF(OR($A111="",COUNTIFS(Answers!$A$4:$A$203,$A111,Answers!$B$4:$B$203,"Last")=0),"",SUMIFS(Answers!$AD$4:$AD$203,Answers!$A$4:$A$203,$A111,Answers!$B$4:$B$203,"Last"))</f>
        <v/>
      </c>
      <c r="L111" s="12" t="str">
        <f aca="false">IF(OR($A111="",COUNTIFS(Answers!$A$4:$A$203,$A111,Answers!$B$4:$B$203,"First")=0),"",SUMIFS(Answers!$AE$4:$AE$203,Answers!$A$4:$A$203,$A111,Answers!$B$4:$B$203,"First"))</f>
        <v/>
      </c>
      <c r="M111" s="12" t="str">
        <f aca="false">IF(OR($A111="",COUNTIFS(Answers!$A$4:$A$203,$A111,Answers!$B$4:$B$203,"Last")=0),"",SUMIFS(Answers!$AE$4:$AE$203,Answers!$A$4:$A$203,$A111,Answers!$B$4:$B$203,"Last"))</f>
        <v/>
      </c>
      <c r="N111" s="11" t="n">
        <f aca="false">IF(AND(B111&lt;&gt;"",C111&lt;&gt;""),1,0)</f>
        <v>0</v>
      </c>
      <c r="O111" s="11" t="str">
        <f aca="false">IF($A111="","",IF(MAX(COUNTIFS(Answers!$A$4:$A$203,$A111,Answers!$B$4:$B$203,"First"),COUNTIFS(Answers!$A$4:$A$203,$A111,Answers!$B$4:$B$203,"Last"))&gt;1,"Two rows for one session: keep one",IF(B111="","No first session",IF(C111="","No last session",""))))</f>
        <v/>
      </c>
    </row>
    <row r="112" customFormat="false" ht="15" hidden="false" customHeight="false" outlineLevel="0" collapsed="false">
      <c r="A112" s="9"/>
      <c r="B112" s="11" t="str">
        <f aca="false">IF(OR($A112="",COUNTIFS(Answers!$A$4:$A$203,$A112,Answers!$B$4:$B$203,"First")=0),"",SUMIFS(Answers!$AA$4:$AA$203,Answers!$A$4:$A$203,$A112,Answers!$B$4:$B$203,"First"))</f>
        <v/>
      </c>
      <c r="C112" s="11" t="str">
        <f aca="false">IF(OR($A112="",COUNTIFS(Answers!$A$4:$A$203,$A112,Answers!$B$4:$B$203,"Last")=0),"",SUMIFS(Answers!$AA$4:$AA$203,Answers!$A$4:$A$203,$A112,Answers!$B$4:$B$203,"Last"))</f>
        <v/>
      </c>
      <c r="D112" s="11" t="str">
        <f aca="false">IF(N112=1,C112-B112,"")</f>
        <v/>
      </c>
      <c r="E112" s="19" t="str">
        <f aca="false">IF(OR(N112&lt;&gt;1,B112=16),"",(C112-B112)/(16-B112))</f>
        <v/>
      </c>
      <c r="F112" s="11" t="str">
        <f aca="false">IF(OR($A112="",COUNTIFS(Answers!$A$4:$A$203,$A112,Answers!$B$4:$B$203,"First")=0),"",SUMIFS(Answers!$AB$4:$AB$203,Answers!$A$4:$A$203,$A112,Answers!$B$4:$B$203,"First"))</f>
        <v/>
      </c>
      <c r="G112" s="11" t="str">
        <f aca="false">IF(OR($A112="",COUNTIFS(Answers!$A$4:$A$203,$A112,Answers!$B$4:$B$203,"Last")=0),"",SUMIFS(Answers!$AB$4:$AB$203,Answers!$A$4:$A$203,$A112,Answers!$B$4:$B$203,"Last"))</f>
        <v/>
      </c>
      <c r="H112" s="11" t="str">
        <f aca="false">IF(OR($A112="",COUNTIFS(Answers!$A$4:$A$203,$A112,Answers!$B$4:$B$203,"First")=0),"",SUMIFS(Answers!$AC$4:$AC$203,Answers!$A$4:$A$203,$A112,Answers!$B$4:$B$203,"First"))</f>
        <v/>
      </c>
      <c r="I112" s="11" t="str">
        <f aca="false">IF(OR($A112="",COUNTIFS(Answers!$A$4:$A$203,$A112,Answers!$B$4:$B$203,"Last")=0),"",SUMIFS(Answers!$AC$4:$AC$203,Answers!$A$4:$A$203,$A112,Answers!$B$4:$B$203,"Last"))</f>
        <v/>
      </c>
      <c r="J112" s="12" t="str">
        <f aca="false">IF(OR($A112="",COUNTIFS(Answers!$A$4:$A$203,$A112,Answers!$B$4:$B$203,"First")=0),"",SUMIFS(Answers!$AD$4:$AD$203,Answers!$A$4:$A$203,$A112,Answers!$B$4:$B$203,"First"))</f>
        <v/>
      </c>
      <c r="K112" s="12" t="str">
        <f aca="false">IF(OR($A112="",COUNTIFS(Answers!$A$4:$A$203,$A112,Answers!$B$4:$B$203,"Last")=0),"",SUMIFS(Answers!$AD$4:$AD$203,Answers!$A$4:$A$203,$A112,Answers!$B$4:$B$203,"Last"))</f>
        <v/>
      </c>
      <c r="L112" s="12" t="str">
        <f aca="false">IF(OR($A112="",COUNTIFS(Answers!$A$4:$A$203,$A112,Answers!$B$4:$B$203,"First")=0),"",SUMIFS(Answers!$AE$4:$AE$203,Answers!$A$4:$A$203,$A112,Answers!$B$4:$B$203,"First"))</f>
        <v/>
      </c>
      <c r="M112" s="12" t="str">
        <f aca="false">IF(OR($A112="",COUNTIFS(Answers!$A$4:$A$203,$A112,Answers!$B$4:$B$203,"Last")=0),"",SUMIFS(Answers!$AE$4:$AE$203,Answers!$A$4:$A$203,$A112,Answers!$B$4:$B$203,"Last"))</f>
        <v/>
      </c>
      <c r="N112" s="11" t="n">
        <f aca="false">IF(AND(B112&lt;&gt;"",C112&lt;&gt;""),1,0)</f>
        <v>0</v>
      </c>
      <c r="O112" s="11" t="str">
        <f aca="false">IF($A112="","",IF(MAX(COUNTIFS(Answers!$A$4:$A$203,$A112,Answers!$B$4:$B$203,"First"),COUNTIFS(Answers!$A$4:$A$203,$A112,Answers!$B$4:$B$203,"Last"))&gt;1,"Two rows for one session: keep one",IF(B112="","No first session",IF(C112="","No last session",""))))</f>
        <v/>
      </c>
    </row>
    <row r="113" customFormat="false" ht="15" hidden="false" customHeight="false" outlineLevel="0" collapsed="false">
      <c r="A113" s="9"/>
      <c r="B113" s="11" t="str">
        <f aca="false">IF(OR($A113="",COUNTIFS(Answers!$A$4:$A$203,$A113,Answers!$B$4:$B$203,"First")=0),"",SUMIFS(Answers!$AA$4:$AA$203,Answers!$A$4:$A$203,$A113,Answers!$B$4:$B$203,"First"))</f>
        <v/>
      </c>
      <c r="C113" s="11" t="str">
        <f aca="false">IF(OR($A113="",COUNTIFS(Answers!$A$4:$A$203,$A113,Answers!$B$4:$B$203,"Last")=0),"",SUMIFS(Answers!$AA$4:$AA$203,Answers!$A$4:$A$203,$A113,Answers!$B$4:$B$203,"Last"))</f>
        <v/>
      </c>
      <c r="D113" s="11" t="str">
        <f aca="false">IF(N113=1,C113-B113,"")</f>
        <v/>
      </c>
      <c r="E113" s="19" t="str">
        <f aca="false">IF(OR(N113&lt;&gt;1,B113=16),"",(C113-B113)/(16-B113))</f>
        <v/>
      </c>
      <c r="F113" s="11" t="str">
        <f aca="false">IF(OR($A113="",COUNTIFS(Answers!$A$4:$A$203,$A113,Answers!$B$4:$B$203,"First")=0),"",SUMIFS(Answers!$AB$4:$AB$203,Answers!$A$4:$A$203,$A113,Answers!$B$4:$B$203,"First"))</f>
        <v/>
      </c>
      <c r="G113" s="11" t="str">
        <f aca="false">IF(OR($A113="",COUNTIFS(Answers!$A$4:$A$203,$A113,Answers!$B$4:$B$203,"Last")=0),"",SUMIFS(Answers!$AB$4:$AB$203,Answers!$A$4:$A$203,$A113,Answers!$B$4:$B$203,"Last"))</f>
        <v/>
      </c>
      <c r="H113" s="11" t="str">
        <f aca="false">IF(OR($A113="",COUNTIFS(Answers!$A$4:$A$203,$A113,Answers!$B$4:$B$203,"First")=0),"",SUMIFS(Answers!$AC$4:$AC$203,Answers!$A$4:$A$203,$A113,Answers!$B$4:$B$203,"First"))</f>
        <v/>
      </c>
      <c r="I113" s="11" t="str">
        <f aca="false">IF(OR($A113="",COUNTIFS(Answers!$A$4:$A$203,$A113,Answers!$B$4:$B$203,"Last")=0),"",SUMIFS(Answers!$AC$4:$AC$203,Answers!$A$4:$A$203,$A113,Answers!$B$4:$B$203,"Last"))</f>
        <v/>
      </c>
      <c r="J113" s="12" t="str">
        <f aca="false">IF(OR($A113="",COUNTIFS(Answers!$A$4:$A$203,$A113,Answers!$B$4:$B$203,"First")=0),"",SUMIFS(Answers!$AD$4:$AD$203,Answers!$A$4:$A$203,$A113,Answers!$B$4:$B$203,"First"))</f>
        <v/>
      </c>
      <c r="K113" s="12" t="str">
        <f aca="false">IF(OR($A113="",COUNTIFS(Answers!$A$4:$A$203,$A113,Answers!$B$4:$B$203,"Last")=0),"",SUMIFS(Answers!$AD$4:$AD$203,Answers!$A$4:$A$203,$A113,Answers!$B$4:$B$203,"Last"))</f>
        <v/>
      </c>
      <c r="L113" s="12" t="str">
        <f aca="false">IF(OR($A113="",COUNTIFS(Answers!$A$4:$A$203,$A113,Answers!$B$4:$B$203,"First")=0),"",SUMIFS(Answers!$AE$4:$AE$203,Answers!$A$4:$A$203,$A113,Answers!$B$4:$B$203,"First"))</f>
        <v/>
      </c>
      <c r="M113" s="12" t="str">
        <f aca="false">IF(OR($A113="",COUNTIFS(Answers!$A$4:$A$203,$A113,Answers!$B$4:$B$203,"Last")=0),"",SUMIFS(Answers!$AE$4:$AE$203,Answers!$A$4:$A$203,$A113,Answers!$B$4:$B$203,"Last"))</f>
        <v/>
      </c>
      <c r="N113" s="11" t="n">
        <f aca="false">IF(AND(B113&lt;&gt;"",C113&lt;&gt;""),1,0)</f>
        <v>0</v>
      </c>
      <c r="O113" s="11" t="str">
        <f aca="false">IF($A113="","",IF(MAX(COUNTIFS(Answers!$A$4:$A$203,$A113,Answers!$B$4:$B$203,"First"),COUNTIFS(Answers!$A$4:$A$203,$A113,Answers!$B$4:$B$203,"Last"))&gt;1,"Two rows for one session: keep one",IF(B113="","No first session",IF(C113="","No last session",""))))</f>
        <v/>
      </c>
    </row>
    <row r="114" customFormat="false" ht="15" hidden="false" customHeight="false" outlineLevel="0" collapsed="false">
      <c r="A114" s="9"/>
      <c r="B114" s="11" t="str">
        <f aca="false">IF(OR($A114="",COUNTIFS(Answers!$A$4:$A$203,$A114,Answers!$B$4:$B$203,"First")=0),"",SUMIFS(Answers!$AA$4:$AA$203,Answers!$A$4:$A$203,$A114,Answers!$B$4:$B$203,"First"))</f>
        <v/>
      </c>
      <c r="C114" s="11" t="str">
        <f aca="false">IF(OR($A114="",COUNTIFS(Answers!$A$4:$A$203,$A114,Answers!$B$4:$B$203,"Last")=0),"",SUMIFS(Answers!$AA$4:$AA$203,Answers!$A$4:$A$203,$A114,Answers!$B$4:$B$203,"Last"))</f>
        <v/>
      </c>
      <c r="D114" s="11" t="str">
        <f aca="false">IF(N114=1,C114-B114,"")</f>
        <v/>
      </c>
      <c r="E114" s="19" t="str">
        <f aca="false">IF(OR(N114&lt;&gt;1,B114=16),"",(C114-B114)/(16-B114))</f>
        <v/>
      </c>
      <c r="F114" s="11" t="str">
        <f aca="false">IF(OR($A114="",COUNTIFS(Answers!$A$4:$A$203,$A114,Answers!$B$4:$B$203,"First")=0),"",SUMIFS(Answers!$AB$4:$AB$203,Answers!$A$4:$A$203,$A114,Answers!$B$4:$B$203,"First"))</f>
        <v/>
      </c>
      <c r="G114" s="11" t="str">
        <f aca="false">IF(OR($A114="",COUNTIFS(Answers!$A$4:$A$203,$A114,Answers!$B$4:$B$203,"Last")=0),"",SUMIFS(Answers!$AB$4:$AB$203,Answers!$A$4:$A$203,$A114,Answers!$B$4:$B$203,"Last"))</f>
        <v/>
      </c>
      <c r="H114" s="11" t="str">
        <f aca="false">IF(OR($A114="",COUNTIFS(Answers!$A$4:$A$203,$A114,Answers!$B$4:$B$203,"First")=0),"",SUMIFS(Answers!$AC$4:$AC$203,Answers!$A$4:$A$203,$A114,Answers!$B$4:$B$203,"First"))</f>
        <v/>
      </c>
      <c r="I114" s="11" t="str">
        <f aca="false">IF(OR($A114="",COUNTIFS(Answers!$A$4:$A$203,$A114,Answers!$B$4:$B$203,"Last")=0),"",SUMIFS(Answers!$AC$4:$AC$203,Answers!$A$4:$A$203,$A114,Answers!$B$4:$B$203,"Last"))</f>
        <v/>
      </c>
      <c r="J114" s="12" t="str">
        <f aca="false">IF(OR($A114="",COUNTIFS(Answers!$A$4:$A$203,$A114,Answers!$B$4:$B$203,"First")=0),"",SUMIFS(Answers!$AD$4:$AD$203,Answers!$A$4:$A$203,$A114,Answers!$B$4:$B$203,"First"))</f>
        <v/>
      </c>
      <c r="K114" s="12" t="str">
        <f aca="false">IF(OR($A114="",COUNTIFS(Answers!$A$4:$A$203,$A114,Answers!$B$4:$B$203,"Last")=0),"",SUMIFS(Answers!$AD$4:$AD$203,Answers!$A$4:$A$203,$A114,Answers!$B$4:$B$203,"Last"))</f>
        <v/>
      </c>
      <c r="L114" s="12" t="str">
        <f aca="false">IF(OR($A114="",COUNTIFS(Answers!$A$4:$A$203,$A114,Answers!$B$4:$B$203,"First")=0),"",SUMIFS(Answers!$AE$4:$AE$203,Answers!$A$4:$A$203,$A114,Answers!$B$4:$B$203,"First"))</f>
        <v/>
      </c>
      <c r="M114" s="12" t="str">
        <f aca="false">IF(OR($A114="",COUNTIFS(Answers!$A$4:$A$203,$A114,Answers!$B$4:$B$203,"Last")=0),"",SUMIFS(Answers!$AE$4:$AE$203,Answers!$A$4:$A$203,$A114,Answers!$B$4:$B$203,"Last"))</f>
        <v/>
      </c>
      <c r="N114" s="11" t="n">
        <f aca="false">IF(AND(B114&lt;&gt;"",C114&lt;&gt;""),1,0)</f>
        <v>0</v>
      </c>
      <c r="O114" s="11" t="str">
        <f aca="false">IF($A114="","",IF(MAX(COUNTIFS(Answers!$A$4:$A$203,$A114,Answers!$B$4:$B$203,"First"),COUNTIFS(Answers!$A$4:$A$203,$A114,Answers!$B$4:$B$203,"Last"))&gt;1,"Two rows for one session: keep one",IF(B114="","No first session",IF(C114="","No last session",""))))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2026-10-16T15:55:49Z</dcterms:created>
  <dc:creator>openpyxl</dc:creator>
  <dc:description/>
  <dc:language>en-US</dc:language>
  <cp:lastModifiedBy/>
  <dcterms:modified xsi:type="dcterms:W3CDTF">2026-10-16T15:55:51Z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